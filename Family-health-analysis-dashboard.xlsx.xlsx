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uch\Downloads\"/>
    </mc:Choice>
  </mc:AlternateContent>
  <xr:revisionPtr revIDLastSave="0" documentId="13_ncr:1_{7BAFDD88-DF1C-4939-A045-0CFF5124341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adme" sheetId="1" r:id="rId1"/>
    <sheet name="Dashboard" sheetId="3" r:id="rId2"/>
    <sheet name="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3" l="1"/>
  <c r="M17" i="3"/>
  <c r="M16" i="3"/>
  <c r="M15" i="3"/>
  <c r="M14" i="3"/>
  <c r="M13" i="3"/>
  <c r="B12" i="3"/>
  <c r="M12" i="3"/>
  <c r="E11" i="3"/>
  <c r="B11" i="3"/>
  <c r="M11" i="3"/>
  <c r="E10" i="3"/>
  <c r="B10" i="3"/>
  <c r="I5" i="3"/>
  <c r="G12" i="1" s="1"/>
  <c r="G5" i="3"/>
  <c r="E12" i="1" s="1"/>
  <c r="D5" i="3"/>
  <c r="C12" i="1" s="1"/>
  <c r="A5" i="3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H10" i="3" s="1"/>
  <c r="J6" i="2"/>
  <c r="J5" i="2"/>
  <c r="H13" i="3" s="1"/>
  <c r="J4" i="2"/>
  <c r="J3" i="2"/>
  <c r="J2" i="2"/>
  <c r="H11" i="3" s="1"/>
  <c r="A12" i="1"/>
  <c r="H12" i="3" l="1"/>
</calcChain>
</file>

<file path=xl/sharedStrings.xml><?xml version="1.0" encoding="utf-8"?>
<sst xmlns="http://schemas.openxmlformats.org/spreadsheetml/2006/main" count="494" uniqueCount="242">
  <si>
    <t>Record ID</t>
  </si>
  <si>
    <t>Family ID</t>
  </si>
  <si>
    <t>Person ID</t>
  </si>
  <si>
    <t>Gender</t>
  </si>
  <si>
    <t>Age</t>
  </si>
  <si>
    <t>Disease</t>
  </si>
  <si>
    <t>Total First-Degree Relatives</t>
  </si>
  <si>
    <t>Alzheimer's-Affected Relatives</t>
  </si>
  <si>
    <t>Alcohol-Dependence-Affected Relatives</t>
  </si>
  <si>
    <t>Age Group</t>
  </si>
  <si>
    <t>R001</t>
  </si>
  <si>
    <t>Family-02</t>
  </si>
  <si>
    <t>Person-001</t>
  </si>
  <si>
    <t>Female</t>
  </si>
  <si>
    <t>No Recorded Disease</t>
  </si>
  <si>
    <t>R002</t>
  </si>
  <si>
    <t>Person-002</t>
  </si>
  <si>
    <t>Male</t>
  </si>
  <si>
    <t>R003</t>
  </si>
  <si>
    <t>Family-04</t>
  </si>
  <si>
    <t>Person-003</t>
  </si>
  <si>
    <t>R004</t>
  </si>
  <si>
    <t>Family-07</t>
  </si>
  <si>
    <t>Person-004</t>
  </si>
  <si>
    <t>R005</t>
  </si>
  <si>
    <t>Family-06</t>
  </si>
  <si>
    <t>Person-005</t>
  </si>
  <si>
    <t>Alzheimer's Dementia</t>
  </si>
  <si>
    <t>R006</t>
  </si>
  <si>
    <t>Person-006</t>
  </si>
  <si>
    <t>R007</t>
  </si>
  <si>
    <t>Person-007</t>
  </si>
  <si>
    <t>R008</t>
  </si>
  <si>
    <t>Person-008</t>
  </si>
  <si>
    <t>R009</t>
  </si>
  <si>
    <t>Family-05</t>
  </si>
  <si>
    <t>Person-009</t>
  </si>
  <si>
    <t>R010</t>
  </si>
  <si>
    <t>Person-010</t>
  </si>
  <si>
    <t>R011</t>
  </si>
  <si>
    <t>Person-011</t>
  </si>
  <si>
    <t>R012</t>
  </si>
  <si>
    <t>Family-08</t>
  </si>
  <si>
    <t>Person-012</t>
  </si>
  <si>
    <t>R013</t>
  </si>
  <si>
    <t>Person-013</t>
  </si>
  <si>
    <t>R014</t>
  </si>
  <si>
    <t>Person-014</t>
  </si>
  <si>
    <t>R015</t>
  </si>
  <si>
    <t>Person-015</t>
  </si>
  <si>
    <t>R016</t>
  </si>
  <si>
    <t>Family-01</t>
  </si>
  <si>
    <t>Person-016</t>
  </si>
  <si>
    <t>R017</t>
  </si>
  <si>
    <t>Person-017</t>
  </si>
  <si>
    <t>R018</t>
  </si>
  <si>
    <t>Family-03</t>
  </si>
  <si>
    <t>Person-018</t>
  </si>
  <si>
    <t>R019</t>
  </si>
  <si>
    <t>Person-019</t>
  </si>
  <si>
    <t>R020</t>
  </si>
  <si>
    <t>Person-020</t>
  </si>
  <si>
    <t>R021</t>
  </si>
  <si>
    <t>Person-021</t>
  </si>
  <si>
    <t>R022</t>
  </si>
  <si>
    <t>Person-022</t>
  </si>
  <si>
    <t>Alcohol Dependence</t>
  </si>
  <si>
    <t>R023</t>
  </si>
  <si>
    <t>Person-023</t>
  </si>
  <si>
    <t>R024</t>
  </si>
  <si>
    <t>Person-024</t>
  </si>
  <si>
    <t>R025</t>
  </si>
  <si>
    <t>Person-025</t>
  </si>
  <si>
    <t>R026</t>
  </si>
  <si>
    <t>Person-026</t>
  </si>
  <si>
    <t>R027</t>
  </si>
  <si>
    <t>Person-027</t>
  </si>
  <si>
    <t>R028</t>
  </si>
  <si>
    <t>Person-028</t>
  </si>
  <si>
    <t>R029</t>
  </si>
  <si>
    <t>Person-029</t>
  </si>
  <si>
    <t>R030</t>
  </si>
  <si>
    <t>Person-030</t>
  </si>
  <si>
    <t>R031</t>
  </si>
  <si>
    <t>Person-031</t>
  </si>
  <si>
    <t>R032</t>
  </si>
  <si>
    <t>Person-032</t>
  </si>
  <si>
    <t>R033</t>
  </si>
  <si>
    <t>Person-033</t>
  </si>
  <si>
    <t>R034</t>
  </si>
  <si>
    <t>Person-034</t>
  </si>
  <si>
    <t>R035</t>
  </si>
  <si>
    <t>Person-035</t>
  </si>
  <si>
    <t>R036</t>
  </si>
  <si>
    <t>Person-036</t>
  </si>
  <si>
    <t>R037</t>
  </si>
  <si>
    <t>Person-037</t>
  </si>
  <si>
    <t>R038</t>
  </si>
  <si>
    <t>Person-038</t>
  </si>
  <si>
    <t>R039</t>
  </si>
  <si>
    <t>Person-039</t>
  </si>
  <si>
    <t>R040</t>
  </si>
  <si>
    <t>Person-040</t>
  </si>
  <si>
    <t>R041</t>
  </si>
  <si>
    <t>Person-041</t>
  </si>
  <si>
    <t>R042</t>
  </si>
  <si>
    <t>Person-042</t>
  </si>
  <si>
    <t>R043</t>
  </si>
  <si>
    <t>Person-043</t>
  </si>
  <si>
    <t>R044</t>
  </si>
  <si>
    <t>Person-044</t>
  </si>
  <si>
    <t>R045</t>
  </si>
  <si>
    <t>Person-045</t>
  </si>
  <si>
    <t>R046</t>
  </si>
  <si>
    <t>Person-046</t>
  </si>
  <si>
    <t>R047</t>
  </si>
  <si>
    <t>Person-047</t>
  </si>
  <si>
    <t>R048</t>
  </si>
  <si>
    <t>Person-048</t>
  </si>
  <si>
    <t>R049</t>
  </si>
  <si>
    <t>Person-049</t>
  </si>
  <si>
    <t>R050</t>
  </si>
  <si>
    <t>Person-050</t>
  </si>
  <si>
    <t>R051</t>
  </si>
  <si>
    <t>Person-051</t>
  </si>
  <si>
    <t>R052</t>
  </si>
  <si>
    <t>Person-052</t>
  </si>
  <si>
    <t>R053</t>
  </si>
  <si>
    <t>Person-053</t>
  </si>
  <si>
    <t>R054</t>
  </si>
  <si>
    <t>Person-054</t>
  </si>
  <si>
    <t>R055</t>
  </si>
  <si>
    <t>Person-055</t>
  </si>
  <si>
    <t>R056</t>
  </si>
  <si>
    <t>Person-056</t>
  </si>
  <si>
    <t>R057</t>
  </si>
  <si>
    <t>Person-057</t>
  </si>
  <si>
    <t>R058</t>
  </si>
  <si>
    <t>Person-058</t>
  </si>
  <si>
    <t>R059</t>
  </si>
  <si>
    <t>Person-059</t>
  </si>
  <si>
    <t>R060</t>
  </si>
  <si>
    <t>Person-060</t>
  </si>
  <si>
    <t>R061</t>
  </si>
  <si>
    <t>Person-061</t>
  </si>
  <si>
    <t>R062</t>
  </si>
  <si>
    <t>Person-062</t>
  </si>
  <si>
    <t>R063</t>
  </si>
  <si>
    <t>Person-063</t>
  </si>
  <si>
    <t>R064</t>
  </si>
  <si>
    <t>Person-064</t>
  </si>
  <si>
    <t>R065</t>
  </si>
  <si>
    <t>Person-065</t>
  </si>
  <si>
    <t>R066</t>
  </si>
  <si>
    <t>Person-066</t>
  </si>
  <si>
    <t>R067</t>
  </si>
  <si>
    <t>Person-067</t>
  </si>
  <si>
    <t>R068</t>
  </si>
  <si>
    <t>Person-068</t>
  </si>
  <si>
    <t>R069</t>
  </si>
  <si>
    <t>Person-069</t>
  </si>
  <si>
    <t>R070</t>
  </si>
  <si>
    <t>Person-070</t>
  </si>
  <si>
    <t>R071</t>
  </si>
  <si>
    <t>Person-071</t>
  </si>
  <si>
    <t>R072</t>
  </si>
  <si>
    <t>Person-072</t>
  </si>
  <si>
    <t>R073</t>
  </si>
  <si>
    <t>Person-073</t>
  </si>
  <si>
    <t>R074</t>
  </si>
  <si>
    <t>Person-074</t>
  </si>
  <si>
    <t>R075</t>
  </si>
  <si>
    <t>Person-075</t>
  </si>
  <si>
    <t>R076</t>
  </si>
  <si>
    <t>Person-076</t>
  </si>
  <si>
    <t>R077</t>
  </si>
  <si>
    <t>Person-077</t>
  </si>
  <si>
    <t>R078</t>
  </si>
  <si>
    <t>Person-078</t>
  </si>
  <si>
    <t>R079</t>
  </si>
  <si>
    <t>Person-079</t>
  </si>
  <si>
    <t>R080</t>
  </si>
  <si>
    <t>Person-080</t>
  </si>
  <si>
    <t>Family Health Analysis Dashboard</t>
  </si>
  <si>
    <t>Total Records</t>
  </si>
  <si>
    <t>Total Families</t>
  </si>
  <si>
    <t>Alzheimer's Records</t>
  </si>
  <si>
    <t>Records</t>
  </si>
  <si>
    <t>Family</t>
  </si>
  <si>
    <t>Under 13</t>
  </si>
  <si>
    <t>13-60</t>
  </si>
  <si>
    <t>Over 60</t>
  </si>
  <si>
    <t>Unknown</t>
  </si>
  <si>
    <t>Excel portfolio project by Shuchita Aggarwal | Synthetic data used for demonstration</t>
  </si>
  <si>
    <t>PROJECT OVERVIEW</t>
  </si>
  <si>
    <t>This project demonstrates how Excel can be used to organize a family-health dataset, calculate summary metrics, and present findings in a concise dashboard. The workbook contains synthetic records only and is intended for portfolio and learning purposes.</t>
  </si>
  <si>
    <t>PROJECT AT A GLANCE</t>
  </si>
  <si>
    <t>TOTAL RECORDS</t>
  </si>
  <si>
    <t>TOTAL FAMILIES</t>
  </si>
  <si>
    <t>ALZHEIMER'S RECORDS</t>
  </si>
  <si>
    <t>ALCOHOL DEPENDENCE</t>
  </si>
  <si>
    <t>WORKBOOK STRUCTURE</t>
  </si>
  <si>
    <t>Sheet</t>
  </si>
  <si>
    <t>Purpose</t>
  </si>
  <si>
    <t>Readme</t>
  </si>
  <si>
    <t>Project overview, formulas, insights, privacy statement, and GitHub instructions.</t>
  </si>
  <si>
    <t>Data</t>
  </si>
  <si>
    <t>Synthetic record-level family-health dataset used by the dashboard.</t>
  </si>
  <si>
    <t>Dashboard</t>
  </si>
  <si>
    <t>KPI cards, summary tables, and charts for disease, gender, age group, and family counts.</t>
  </si>
  <si>
    <t>QUESTIONS ANSWERED BY THE DASHBOARD</t>
  </si>
  <si>
    <t>How many records and synthetic families are included?</t>
  </si>
  <si>
    <t>How are records distributed across disease categories?</t>
  </si>
  <si>
    <t>What is the gender and age-group distribution?</t>
  </si>
  <si>
    <t>How many records belong to each family?</t>
  </si>
  <si>
    <t>FORMULAS AND EXCEL FEATURES USED</t>
  </si>
  <si>
    <t>Formula / feature</t>
  </si>
  <si>
    <t>Example used</t>
  </si>
  <si>
    <t>COUNTA</t>
  </si>
  <si>
    <t>=COUNTA(Data!A2:A81)</t>
  </si>
  <si>
    <t>Counts all populated record IDs.</t>
  </si>
  <si>
    <t>COUNTIF</t>
  </si>
  <si>
    <t>=COUNTIF(Data!F2:F81,"Alzheimer's Dementia")</t>
  </si>
  <si>
    <t>Counts records matching a disease category.</t>
  </si>
  <si>
    <t>COUNTIF with criteria cell</t>
  </si>
  <si>
    <t>=COUNTIF(Data!J2:J81,G11)</t>
  </si>
  <si>
    <t>Builds dynamic summary tables used by charts.</t>
  </si>
  <si>
    <t>Cross-sheet reference</t>
  </si>
  <si>
    <t>=Dashboard!A6</t>
  </si>
  <si>
    <t>Links README metrics to the live dashboard.</t>
  </si>
  <si>
    <t>Charts</t>
  </si>
  <si>
    <t>Column and bar charts</t>
  </si>
  <si>
    <t>Visualizes disease and age-group distributions.</t>
  </si>
  <si>
    <t>Conditional formatting</t>
  </si>
  <si>
    <t>KPI card styling</t>
  </si>
  <si>
    <t>Highlights key values and improves readability.</t>
  </si>
  <si>
    <t>KEY INSIGHTS FROM THE SYNTHETIC SAMPLE</t>
  </si>
  <si>
    <t>•</t>
  </si>
  <si>
    <t>Most records fall in the 13–60 age group.</t>
  </si>
  <si>
    <t>The largest disease category is No Recorded Disease.</t>
  </si>
  <si>
    <t>The dashboard compares Alzheimer's Dementia and Alcohol Dependence records.</t>
  </si>
  <si>
    <t>Family-level summaries distribute the records across eight synthetic families.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</si>
</sst>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8"/>
      <color rgb="FF1F1F1F"/>
      <name val="Carlito"/>
    </font>
    <font>
      <b/>
      <sz val="22"/>
      <color rgb="FFFFFFFF"/>
      <name val="Carlito"/>
    </font>
    <font>
      <b/>
      <sz val="18"/>
      <color rgb="FF17365D"/>
      <name val="Carlito"/>
    </font>
    <font>
      <sz val="10"/>
      <color rgb="FF2F4050"/>
      <name val="Carlito"/>
    </font>
    <font>
      <b/>
      <sz val="10"/>
      <color rgb="FF17365D"/>
      <name val="Carlito"/>
    </font>
    <font>
      <b/>
      <sz val="14"/>
      <color rgb="FF5B9BD5"/>
      <name val="Carlito"/>
    </font>
    <font>
      <b/>
      <sz val="10"/>
      <color rgb="FF2F4050"/>
      <name val="Carlito"/>
    </font>
    <font>
      <i/>
      <sz val="10"/>
      <color rgb="FF17365D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F7F9FB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5B9BD5"/>
      </patternFill>
    </fill>
    <fill>
      <patternFill patternType="solid">
        <fgColor rgb="FFF7FAFC"/>
      </patternFill>
    </fill>
    <fill>
      <patternFill patternType="solid">
        <fgColor rgb="FFD9EAF7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2" xfId="0" applyNumberFormat="1" applyBorder="1"/>
    <xf numFmtId="1" fontId="0" fillId="0" borderId="0" xfId="0" applyNumberFormat="1"/>
    <xf numFmtId="1" fontId="0" fillId="0" borderId="7" xfId="0" applyNumberFormat="1" applyBorder="1"/>
    <xf numFmtId="0" fontId="0" fillId="5" borderId="1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8" xfId="0" applyFill="1" applyBorder="1"/>
    <xf numFmtId="0" fontId="7" fillId="11" borderId="24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 wrapText="1"/>
    </xf>
    <xf numFmtId="0" fontId="6" fillId="6" borderId="0" xfId="0" applyFont="1" applyFill="1" applyAlignment="1">
      <alignment vertical="center"/>
    </xf>
    <xf numFmtId="0" fontId="6" fillId="6" borderId="19" xfId="0" applyFont="1" applyFill="1" applyBorder="1" applyAlignment="1">
      <alignment vertical="center" wrapText="1"/>
    </xf>
    <xf numFmtId="49" fontId="6" fillId="6" borderId="0" xfId="0" applyNumberFormat="1" applyFont="1" applyFill="1" applyAlignment="1">
      <alignment vertical="center" wrapText="1"/>
    </xf>
    <xf numFmtId="0" fontId="6" fillId="6" borderId="20" xfId="0" applyFont="1" applyFill="1" applyBorder="1" applyAlignment="1">
      <alignment vertical="center" wrapText="1"/>
    </xf>
    <xf numFmtId="0" fontId="4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left" vertical="center"/>
    </xf>
    <xf numFmtId="0" fontId="6" fillId="10" borderId="13" xfId="0" applyFont="1" applyFill="1" applyBorder="1" applyAlignment="1">
      <alignment horizontal="left" vertical="top" wrapText="1"/>
    </xf>
    <xf numFmtId="0" fontId="6" fillId="10" borderId="14" xfId="0" applyFont="1" applyFill="1" applyBorder="1" applyAlignment="1">
      <alignment vertical="top" wrapText="1"/>
    </xf>
    <xf numFmtId="0" fontId="6" fillId="10" borderId="15" xfId="0" applyFont="1" applyFill="1" applyBorder="1" applyAlignment="1">
      <alignment vertical="top" wrapText="1"/>
    </xf>
    <xf numFmtId="0" fontId="6" fillId="10" borderId="19" xfId="0" applyFont="1" applyFill="1" applyBorder="1" applyAlignment="1">
      <alignment horizontal="left" vertical="top" wrapText="1"/>
    </xf>
    <xf numFmtId="0" fontId="6" fillId="10" borderId="0" xfId="0" applyFont="1" applyFill="1" applyAlignment="1">
      <alignment horizontal="left" vertical="top" wrapText="1"/>
    </xf>
    <xf numFmtId="0" fontId="6" fillId="10" borderId="0" xfId="0" applyFont="1" applyFill="1" applyAlignment="1">
      <alignment vertical="top" wrapText="1"/>
    </xf>
    <xf numFmtId="0" fontId="6" fillId="10" borderId="20" xfId="0" applyFont="1" applyFill="1" applyBorder="1" applyAlignment="1">
      <alignment vertical="top" wrapText="1"/>
    </xf>
    <xf numFmtId="0" fontId="6" fillId="10" borderId="16" xfId="0" applyFont="1" applyFill="1" applyBorder="1" applyAlignment="1">
      <alignment horizontal="left" vertical="top" wrapText="1"/>
    </xf>
    <xf numFmtId="0" fontId="6" fillId="10" borderId="17" xfId="0" applyFont="1" applyFill="1" applyBorder="1" applyAlignment="1">
      <alignment vertical="top" wrapText="1"/>
    </xf>
    <xf numFmtId="0" fontId="6" fillId="10" borderId="18" xfId="0" applyFont="1" applyFill="1" applyBorder="1" applyAlignment="1">
      <alignment vertical="top" wrapText="1"/>
    </xf>
    <xf numFmtId="0" fontId="1" fillId="9" borderId="0" xfId="0" applyFont="1" applyFill="1" applyAlignment="1">
      <alignment vertical="center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1" fontId="5" fillId="10" borderId="13" xfId="0" applyNumberFormat="1" applyFont="1" applyFill="1" applyBorder="1" applyAlignment="1">
      <alignment horizontal="center" vertical="center" wrapText="1"/>
    </xf>
    <xf numFmtId="1" fontId="5" fillId="10" borderId="15" xfId="0" applyNumberFormat="1" applyFont="1" applyFill="1" applyBorder="1" applyAlignment="1">
      <alignment horizontal="center" vertical="center" wrapText="1"/>
    </xf>
    <xf numFmtId="1" fontId="5" fillId="10" borderId="16" xfId="0" applyNumberFormat="1" applyFont="1" applyFill="1" applyBorder="1" applyAlignment="1">
      <alignment horizontal="center" vertical="center" wrapText="1"/>
    </xf>
    <xf numFmtId="1" fontId="5" fillId="10" borderId="18" xfId="0" applyNumberFormat="1" applyFont="1" applyFill="1" applyBorder="1" applyAlignment="1">
      <alignment horizontal="center" vertical="center" wrapText="1"/>
    </xf>
    <xf numFmtId="0" fontId="7" fillId="11" borderId="23" xfId="0" applyFont="1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vertical="center" wrapText="1"/>
    </xf>
    <xf numFmtId="0" fontId="6" fillId="10" borderId="21" xfId="0" applyFont="1" applyFill="1" applyBorder="1" applyAlignment="1">
      <alignment vertical="center" wrapText="1"/>
    </xf>
    <xf numFmtId="0" fontId="6" fillId="10" borderId="23" xfId="0" applyFont="1" applyFill="1" applyBorder="1" applyAlignment="1">
      <alignment vertical="center" wrapText="1"/>
    </xf>
    <xf numFmtId="0" fontId="6" fillId="10" borderId="22" xfId="0" applyFont="1" applyFill="1" applyBorder="1" applyAlignment="1">
      <alignment vertical="center" wrapText="1"/>
    </xf>
    <xf numFmtId="0" fontId="7" fillId="10" borderId="22" xfId="0" applyFont="1" applyFill="1" applyBorder="1" applyAlignment="1">
      <alignment horizontal="left" vertical="center" wrapText="1"/>
    </xf>
    <xf numFmtId="0" fontId="6" fillId="10" borderId="21" xfId="0" applyFont="1" applyFill="1" applyBorder="1" applyAlignment="1">
      <alignment horizontal="left" vertical="center" wrapText="1"/>
    </xf>
    <xf numFmtId="0" fontId="6" fillId="10" borderId="23" xfId="0" applyFont="1" applyFill="1" applyBorder="1" applyAlignment="1">
      <alignment horizontal="left" vertical="center" wrapText="1"/>
    </xf>
    <xf numFmtId="0" fontId="6" fillId="10" borderId="22" xfId="0" applyFont="1" applyFill="1" applyBorder="1" applyAlignment="1">
      <alignment horizontal="left" vertical="center" wrapText="1"/>
    </xf>
    <xf numFmtId="49" fontId="6" fillId="10" borderId="21" xfId="0" applyNumberFormat="1" applyFont="1" applyFill="1" applyBorder="1" applyAlignment="1">
      <alignment horizontal="left" vertical="center" wrapText="1"/>
    </xf>
    <xf numFmtId="49" fontId="6" fillId="10" borderId="23" xfId="0" applyNumberFormat="1" applyFont="1" applyFill="1" applyBorder="1" applyAlignment="1">
      <alignment horizontal="left" vertical="center" wrapText="1"/>
    </xf>
    <xf numFmtId="0" fontId="1" fillId="9" borderId="19" xfId="0" applyFont="1" applyFill="1" applyBorder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1" fillId="9" borderId="20" xfId="0" applyFont="1" applyFill="1" applyBorder="1" applyAlignment="1">
      <alignment vertical="center" wrapText="1"/>
    </xf>
    <xf numFmtId="0" fontId="7" fillId="10" borderId="21" xfId="0" applyFont="1" applyFill="1" applyBorder="1" applyAlignment="1">
      <alignment horizontal="left" vertical="top" wrapText="1"/>
    </xf>
    <xf numFmtId="0" fontId="7" fillId="10" borderId="22" xfId="0" applyFont="1" applyFill="1" applyBorder="1" applyAlignment="1">
      <alignment horizontal="left" vertical="top" wrapText="1"/>
    </xf>
    <xf numFmtId="49" fontId="6" fillId="10" borderId="21" xfId="0" applyNumberFormat="1" applyFont="1" applyFill="1" applyBorder="1" applyAlignment="1">
      <alignment vertical="center" wrapText="1"/>
    </xf>
    <xf numFmtId="49" fontId="6" fillId="10" borderId="23" xfId="0" applyNumberFormat="1" applyFont="1" applyFill="1" applyBorder="1" applyAlignment="1">
      <alignment vertical="center" wrapText="1"/>
    </xf>
    <xf numFmtId="49" fontId="6" fillId="10" borderId="22" xfId="0" applyNumberFormat="1" applyFont="1" applyFill="1" applyBorder="1" applyAlignment="1">
      <alignment vertical="center" wrapText="1"/>
    </xf>
    <xf numFmtId="0" fontId="9" fillId="10" borderId="21" xfId="0" applyFont="1" applyFill="1" applyBorder="1" applyAlignment="1">
      <alignment vertical="center" wrapText="1"/>
    </xf>
    <xf numFmtId="0" fontId="9" fillId="10" borderId="23" xfId="0" applyFont="1" applyFill="1" applyBorder="1" applyAlignment="1">
      <alignment vertical="center" wrapText="1"/>
    </xf>
    <xf numFmtId="0" fontId="9" fillId="10" borderId="22" xfId="0" applyFont="1" applyFill="1" applyBorder="1" applyAlignment="1">
      <alignment vertical="center" wrapText="1"/>
    </xf>
    <xf numFmtId="0" fontId="6" fillId="10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invertIfNegative val="1"/>
          <c:cat>
            <c:strRef>
              <c:f>Dashboard!$A$10:$A$12</c:f>
              <c:strCache>
                <c:ptCount val="3"/>
                <c:pt idx="0">
                  <c:v>No Recorded Disease</c:v>
                </c:pt>
                <c:pt idx="1">
                  <c:v>Alzheimer's Dementia</c:v>
                </c:pt>
                <c:pt idx="2">
                  <c:v>Alcohol Dependence</c:v>
                </c:pt>
              </c:strCache>
            </c:strRef>
          </c:cat>
          <c:val>
            <c:numRef>
              <c:f>Dashboard!$B$10:$B$12</c:f>
              <c:numCache>
                <c:formatCode>General</c:formatCode>
                <c:ptCount val="3"/>
                <c:pt idx="0">
                  <c:v>49</c:v>
                </c:pt>
                <c:pt idx="1">
                  <c:v>22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2-4A19-9A73-6CE7D685A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invertIfNegative val="1"/>
          <c:cat>
            <c:strRef>
              <c:f>Dashboard!$G$10:$G$13</c:f>
              <c:strCache>
                <c:ptCount val="4"/>
                <c:pt idx="0">
                  <c:v>Under 13</c:v>
                </c:pt>
                <c:pt idx="1">
                  <c:v>13-60</c:v>
                </c:pt>
                <c:pt idx="2">
                  <c:v>Over 60</c:v>
                </c:pt>
                <c:pt idx="3">
                  <c:v>Unknown</c:v>
                </c:pt>
              </c:strCache>
            </c:strRef>
          </c:cat>
          <c:val>
            <c:numRef>
              <c:f>Dashboard!$H$10:$H$13</c:f>
              <c:numCache>
                <c:formatCode>General</c:formatCode>
                <c:ptCount val="4"/>
                <c:pt idx="0">
                  <c:v>5</c:v>
                </c:pt>
                <c:pt idx="1">
                  <c:v>53</c:v>
                </c:pt>
                <c:pt idx="2">
                  <c:v>15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5-4663-804D-B66D13F5A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tfolioData" displayName="PortfolioData" ref="A1:J81">
  <tableColumns count="10">
    <tableColumn id="1" xr3:uid="{00000000-0010-0000-0000-000001000000}" name="Record ID"/>
    <tableColumn id="2" xr3:uid="{00000000-0010-0000-0000-000002000000}" name="Family ID"/>
    <tableColumn id="3" xr3:uid="{00000000-0010-0000-0000-000003000000}" name="Person ID"/>
    <tableColumn id="4" xr3:uid="{00000000-0010-0000-0000-000004000000}" name="Gender"/>
    <tableColumn id="5" xr3:uid="{00000000-0010-0000-0000-000005000000}" name="Age"/>
    <tableColumn id="6" xr3:uid="{00000000-0010-0000-0000-000006000000}" name="Disease"/>
    <tableColumn id="7" xr3:uid="{00000000-0010-0000-0000-000007000000}" name="Total First-Degree Relatives"/>
    <tableColumn id="8" xr3:uid="{00000000-0010-0000-0000-000008000000}" name="Alzheimer's-Affected Relatives"/>
    <tableColumn id="9" xr3:uid="{00000000-0010-0000-0000-000009000000}" name="Alcohol-Dependence-Affected Relatives"/>
    <tableColumn id="10" xr3:uid="{00000000-0010-0000-0000-00000A000000}" name="Age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opLeftCell="B1" zoomScale="95" workbookViewId="0">
      <selection activeCell="K15" sqref="K15"/>
    </sheetView>
  </sheetViews>
  <sheetFormatPr defaultRowHeight="14"/>
  <cols>
    <col min="1" max="1" width="7" customWidth="1"/>
    <col min="2" max="8" width="16" customWidth="1"/>
  </cols>
  <sheetData>
    <row r="1" spans="1:8" ht="14" customHeight="1">
      <c r="A1" s="27" t="s">
        <v>183</v>
      </c>
      <c r="B1" s="27"/>
      <c r="C1" s="27"/>
      <c r="D1" s="27"/>
      <c r="E1" s="27"/>
      <c r="F1" s="27"/>
      <c r="G1" s="27"/>
      <c r="H1" s="27"/>
    </row>
    <row r="2" spans="1:8" ht="14" customHeight="1">
      <c r="A2" s="27"/>
      <c r="B2" s="27"/>
      <c r="C2" s="27"/>
      <c r="D2" s="27"/>
      <c r="E2" s="27"/>
      <c r="F2" s="27"/>
      <c r="G2" s="27"/>
      <c r="H2" s="27"/>
    </row>
    <row r="3" spans="1:8" ht="14" customHeight="1">
      <c r="A3" s="28" t="s">
        <v>193</v>
      </c>
      <c r="B3" s="28"/>
      <c r="C3" s="28"/>
      <c r="D3" s="28"/>
      <c r="E3" s="28"/>
      <c r="F3" s="28"/>
      <c r="G3" s="28"/>
      <c r="H3" s="28"/>
    </row>
    <row r="4" spans="1:8" ht="14" customHeight="1">
      <c r="A4" s="23"/>
      <c r="B4" s="23"/>
      <c r="C4" s="23"/>
      <c r="D4" s="23"/>
      <c r="E4" s="23"/>
      <c r="F4" s="23"/>
      <c r="G4" s="23"/>
      <c r="H4" s="23"/>
    </row>
    <row r="5" spans="1:8" ht="14" customHeight="1">
      <c r="A5" s="29" t="s">
        <v>194</v>
      </c>
      <c r="B5" s="29"/>
      <c r="C5" s="29"/>
      <c r="D5" s="29"/>
      <c r="E5" s="29"/>
      <c r="F5" s="29"/>
      <c r="G5" s="29"/>
      <c r="H5" s="29"/>
    </row>
    <row r="6" spans="1:8" ht="16.649999999999999" customHeight="1">
      <c r="A6" s="30" t="s">
        <v>195</v>
      </c>
      <c r="B6" s="31"/>
      <c r="C6" s="31"/>
      <c r="D6" s="31"/>
      <c r="E6" s="31"/>
      <c r="F6" s="31"/>
      <c r="G6" s="31"/>
      <c r="H6" s="32"/>
    </row>
    <row r="7" spans="1:8" ht="16.649999999999999" customHeight="1">
      <c r="A7" s="33"/>
      <c r="B7" s="34"/>
      <c r="C7" s="34"/>
      <c r="D7" s="35"/>
      <c r="E7" s="35"/>
      <c r="F7" s="35"/>
      <c r="G7" s="35"/>
      <c r="H7" s="36"/>
    </row>
    <row r="8" spans="1:8" ht="16.649999999999999" customHeight="1">
      <c r="A8" s="37"/>
      <c r="B8" s="38"/>
      <c r="C8" s="38"/>
      <c r="D8" s="38"/>
      <c r="E8" s="38"/>
      <c r="F8" s="38"/>
      <c r="G8" s="38"/>
      <c r="H8" s="39"/>
    </row>
    <row r="9" spans="1:8" ht="14" customHeight="1">
      <c r="A9" s="21"/>
      <c r="B9" s="21"/>
      <c r="C9" s="21"/>
      <c r="D9" s="21"/>
      <c r="E9" s="21"/>
      <c r="F9" s="23"/>
      <c r="G9" s="23"/>
      <c r="H9" s="23"/>
    </row>
    <row r="10" spans="1:8" ht="14" customHeight="1">
      <c r="A10" s="29" t="s">
        <v>196</v>
      </c>
      <c r="B10" s="40"/>
      <c r="C10" s="40"/>
      <c r="D10" s="40"/>
      <c r="E10" s="40"/>
      <c r="F10" s="40"/>
      <c r="G10" s="40"/>
      <c r="H10" s="40"/>
    </row>
    <row r="11" spans="1:8" ht="14" customHeight="1">
      <c r="A11" s="41" t="s">
        <v>197</v>
      </c>
      <c r="B11" s="42"/>
      <c r="C11" s="41" t="s">
        <v>198</v>
      </c>
      <c r="D11" s="42"/>
      <c r="E11" s="41" t="s">
        <v>199</v>
      </c>
      <c r="F11" s="42"/>
      <c r="G11" s="41" t="s">
        <v>200</v>
      </c>
      <c r="H11" s="42"/>
    </row>
    <row r="12" spans="1:8" ht="14" customHeight="1">
      <c r="A12" s="43">
        <f>Dashboard!A5</f>
        <v>80</v>
      </c>
      <c r="B12" s="44"/>
      <c r="C12" s="43">
        <f>Dashboard!D5</f>
        <v>8</v>
      </c>
      <c r="D12" s="44"/>
      <c r="E12" s="43">
        <f>Dashboard!G5</f>
        <v>22</v>
      </c>
      <c r="F12" s="44"/>
      <c r="G12" s="43">
        <f>Dashboard!I5</f>
        <v>9</v>
      </c>
      <c r="H12" s="44"/>
    </row>
    <row r="13" spans="1:8" ht="14" customHeight="1">
      <c r="A13" s="45"/>
      <c r="B13" s="46"/>
      <c r="C13" s="45"/>
      <c r="D13" s="46"/>
      <c r="E13" s="45"/>
      <c r="F13" s="46"/>
      <c r="G13" s="45"/>
      <c r="H13" s="46"/>
    </row>
    <row r="14" spans="1:8" ht="14" customHeight="1">
      <c r="A14" s="21"/>
      <c r="B14" s="23"/>
      <c r="C14" s="23"/>
      <c r="D14" s="23"/>
      <c r="E14" s="23"/>
      <c r="F14" s="23"/>
      <c r="G14" s="23"/>
      <c r="H14" s="23"/>
    </row>
    <row r="15" spans="1:8" ht="14" customHeight="1">
      <c r="A15" s="29" t="s">
        <v>201</v>
      </c>
      <c r="B15" s="29"/>
      <c r="C15" s="29"/>
      <c r="D15" s="29"/>
      <c r="E15" s="29"/>
      <c r="F15" s="40"/>
      <c r="G15" s="40"/>
      <c r="H15" s="40"/>
    </row>
    <row r="16" spans="1:8" ht="14" customHeight="1">
      <c r="A16" s="41" t="s">
        <v>202</v>
      </c>
      <c r="B16" s="42"/>
      <c r="C16" s="41" t="s">
        <v>203</v>
      </c>
      <c r="D16" s="47"/>
      <c r="E16" s="47"/>
      <c r="F16" s="47"/>
      <c r="G16" s="47"/>
      <c r="H16" s="42"/>
    </row>
    <row r="17" spans="1:8" ht="14" customHeight="1">
      <c r="A17" s="48" t="s">
        <v>204</v>
      </c>
      <c r="B17" s="49"/>
      <c r="C17" s="50" t="s">
        <v>205</v>
      </c>
      <c r="D17" s="51"/>
      <c r="E17" s="51"/>
      <c r="F17" s="51"/>
      <c r="G17" s="51"/>
      <c r="H17" s="52"/>
    </row>
    <row r="18" spans="1:8" ht="14" customHeight="1">
      <c r="A18" s="48" t="s">
        <v>206</v>
      </c>
      <c r="B18" s="53"/>
      <c r="C18" s="54" t="s">
        <v>207</v>
      </c>
      <c r="D18" s="55"/>
      <c r="E18" s="55"/>
      <c r="F18" s="51"/>
      <c r="G18" s="51"/>
      <c r="H18" s="52"/>
    </row>
    <row r="19" spans="1:8" ht="14" customHeight="1">
      <c r="A19" s="48" t="s">
        <v>208</v>
      </c>
      <c r="B19" s="53"/>
      <c r="C19" s="54" t="s">
        <v>209</v>
      </c>
      <c r="D19" s="55"/>
      <c r="E19" s="55"/>
      <c r="F19" s="51"/>
      <c r="G19" s="51"/>
      <c r="H19" s="52"/>
    </row>
    <row r="20" spans="1:8" ht="14" customHeight="1">
      <c r="A20" s="21"/>
      <c r="B20" s="21"/>
      <c r="C20" s="21"/>
      <c r="D20" s="21"/>
      <c r="E20" s="21"/>
      <c r="F20" s="23"/>
      <c r="G20" s="23"/>
      <c r="H20" s="23"/>
    </row>
    <row r="21" spans="1:8" ht="14" customHeight="1">
      <c r="A21" s="29" t="s">
        <v>210</v>
      </c>
      <c r="B21" s="29"/>
      <c r="C21" s="29"/>
      <c r="D21" s="29"/>
      <c r="E21" s="29"/>
      <c r="F21" s="40"/>
      <c r="G21" s="40"/>
      <c r="H21" s="40"/>
    </row>
    <row r="22" spans="1:8" ht="14" customHeight="1">
      <c r="A22" s="19">
        <v>1</v>
      </c>
      <c r="B22" s="54" t="s">
        <v>211</v>
      </c>
      <c r="C22" s="55"/>
      <c r="D22" s="55"/>
      <c r="E22" s="55"/>
      <c r="F22" s="55"/>
      <c r="G22" s="55"/>
      <c r="H22" s="56"/>
    </row>
    <row r="23" spans="1:8" ht="14" customHeight="1">
      <c r="A23" s="19">
        <v>2</v>
      </c>
      <c r="B23" s="57" t="s">
        <v>212</v>
      </c>
      <c r="C23" s="58"/>
      <c r="D23" s="58"/>
      <c r="E23" s="55"/>
      <c r="F23" s="55"/>
      <c r="G23" s="55"/>
      <c r="H23" s="56"/>
    </row>
    <row r="24" spans="1:8" ht="14" customHeight="1">
      <c r="A24" s="19">
        <v>3</v>
      </c>
      <c r="B24" s="57" t="s">
        <v>213</v>
      </c>
      <c r="C24" s="58"/>
      <c r="D24" s="58"/>
      <c r="E24" s="55"/>
      <c r="F24" s="55"/>
      <c r="G24" s="55"/>
      <c r="H24" s="56"/>
    </row>
    <row r="25" spans="1:8" ht="14" customHeight="1">
      <c r="A25" s="19">
        <v>4</v>
      </c>
      <c r="B25" s="57" t="s">
        <v>214</v>
      </c>
      <c r="C25" s="58"/>
      <c r="D25" s="58"/>
      <c r="E25" s="55"/>
      <c r="F25" s="55"/>
      <c r="G25" s="55"/>
      <c r="H25" s="56"/>
    </row>
    <row r="26" spans="1:8" ht="14" customHeight="1">
      <c r="A26" s="24"/>
      <c r="B26" s="25"/>
      <c r="C26" s="25"/>
      <c r="D26" s="25"/>
      <c r="E26" s="22"/>
      <c r="F26" s="22"/>
      <c r="G26" s="22"/>
      <c r="H26" s="26"/>
    </row>
    <row r="27" spans="1:8" ht="14" customHeight="1">
      <c r="A27" s="59" t="s">
        <v>215</v>
      </c>
      <c r="B27" s="60"/>
      <c r="C27" s="60"/>
      <c r="D27" s="60"/>
      <c r="E27" s="60"/>
      <c r="F27" s="60"/>
      <c r="G27" s="60"/>
      <c r="H27" s="61"/>
    </row>
    <row r="28" spans="1:8" ht="14" customHeight="1">
      <c r="A28" s="41" t="s">
        <v>216</v>
      </c>
      <c r="B28" s="42"/>
      <c r="C28" s="41" t="s">
        <v>217</v>
      </c>
      <c r="D28" s="47"/>
      <c r="E28" s="42"/>
      <c r="F28" s="41" t="s">
        <v>203</v>
      </c>
      <c r="G28" s="47"/>
      <c r="H28" s="42"/>
    </row>
    <row r="29" spans="1:8" ht="14" customHeight="1">
      <c r="A29" s="62" t="s">
        <v>218</v>
      </c>
      <c r="B29" s="63"/>
      <c r="C29" s="64" t="s">
        <v>219</v>
      </c>
      <c r="D29" s="65"/>
      <c r="E29" s="66"/>
      <c r="F29" s="50" t="s">
        <v>220</v>
      </c>
      <c r="G29" s="51"/>
      <c r="H29" s="52"/>
    </row>
    <row r="30" spans="1:8" ht="14" customHeight="1">
      <c r="A30" s="62" t="s">
        <v>221</v>
      </c>
      <c r="B30" s="63"/>
      <c r="C30" s="64" t="s">
        <v>222</v>
      </c>
      <c r="D30" s="65"/>
      <c r="E30" s="66"/>
      <c r="F30" s="67" t="s">
        <v>223</v>
      </c>
      <c r="G30" s="68"/>
      <c r="H30" s="69"/>
    </row>
    <row r="31" spans="1:8" ht="14" customHeight="1">
      <c r="A31" s="62" t="s">
        <v>224</v>
      </c>
      <c r="B31" s="63"/>
      <c r="C31" s="64" t="s">
        <v>225</v>
      </c>
      <c r="D31" s="65"/>
      <c r="E31" s="66"/>
      <c r="F31" s="50" t="s">
        <v>226</v>
      </c>
      <c r="G31" s="51"/>
      <c r="H31" s="52"/>
    </row>
    <row r="32" spans="1:8" ht="14" customHeight="1">
      <c r="A32" s="62" t="s">
        <v>227</v>
      </c>
      <c r="B32" s="63"/>
      <c r="C32" s="64" t="s">
        <v>228</v>
      </c>
      <c r="D32" s="65"/>
      <c r="E32" s="66"/>
      <c r="F32" s="50" t="s">
        <v>229</v>
      </c>
      <c r="G32" s="51"/>
      <c r="H32" s="52"/>
    </row>
    <row r="33" spans="1:8" ht="14" customHeight="1">
      <c r="A33" s="62" t="s">
        <v>230</v>
      </c>
      <c r="B33" s="63"/>
      <c r="C33" s="64" t="s">
        <v>231</v>
      </c>
      <c r="D33" s="65"/>
      <c r="E33" s="66"/>
      <c r="F33" s="50" t="s">
        <v>232</v>
      </c>
      <c r="G33" s="51"/>
      <c r="H33" s="52"/>
    </row>
    <row r="34" spans="1:8" ht="14" customHeight="1">
      <c r="A34" s="62" t="s">
        <v>233</v>
      </c>
      <c r="B34" s="63"/>
      <c r="C34" s="64" t="s">
        <v>234</v>
      </c>
      <c r="D34" s="65"/>
      <c r="E34" s="66"/>
      <c r="F34" s="50" t="s">
        <v>235</v>
      </c>
      <c r="G34" s="51"/>
      <c r="H34" s="52"/>
    </row>
    <row r="35" spans="1:8" ht="14" customHeight="1">
      <c r="A35" s="23"/>
      <c r="B35" s="23"/>
      <c r="C35" s="23"/>
      <c r="D35" s="23"/>
      <c r="E35" s="23"/>
      <c r="F35" s="23"/>
      <c r="G35" s="23"/>
      <c r="H35" s="23"/>
    </row>
    <row r="36" spans="1:8" ht="14" customHeight="1">
      <c r="A36" s="40" t="s">
        <v>236</v>
      </c>
      <c r="B36" s="40"/>
      <c r="C36" s="40"/>
      <c r="D36" s="40"/>
      <c r="E36" s="40"/>
      <c r="F36" s="40"/>
      <c r="G36" s="40"/>
      <c r="H36" s="40"/>
    </row>
    <row r="37" spans="1:8" ht="14" customHeight="1">
      <c r="A37" s="20" t="s">
        <v>237</v>
      </c>
      <c r="B37" s="70" t="s">
        <v>238</v>
      </c>
      <c r="C37" s="70"/>
      <c r="D37" s="70"/>
      <c r="E37" s="70"/>
      <c r="F37" s="70"/>
      <c r="G37" s="70"/>
      <c r="H37" s="70"/>
    </row>
    <row r="38" spans="1:8" ht="14" customHeight="1">
      <c r="A38" s="20" t="s">
        <v>237</v>
      </c>
      <c r="B38" s="70" t="s">
        <v>239</v>
      </c>
      <c r="C38" s="70"/>
      <c r="D38" s="70"/>
      <c r="E38" s="70"/>
      <c r="F38" s="70"/>
      <c r="G38" s="70"/>
      <c r="H38" s="70"/>
    </row>
    <row r="39" spans="1:8" ht="14" customHeight="1">
      <c r="A39" s="20" t="s">
        <v>237</v>
      </c>
      <c r="B39" s="70" t="s">
        <v>240</v>
      </c>
      <c r="C39" s="70"/>
      <c r="D39" s="70"/>
      <c r="E39" s="70"/>
      <c r="F39" s="70"/>
      <c r="G39" s="70"/>
      <c r="H39" s="70"/>
    </row>
    <row r="40" spans="1:8" ht="14" customHeight="1">
      <c r="A40" s="20" t="s">
        <v>237</v>
      </c>
      <c r="B40" s="70" t="s">
        <v>241</v>
      </c>
      <c r="C40" s="70"/>
      <c r="D40" s="70"/>
      <c r="E40" s="70"/>
      <c r="F40" s="70"/>
      <c r="G40" s="70"/>
      <c r="H40" s="70"/>
    </row>
    <row r="41" spans="1:8" ht="14" customHeight="1">
      <c r="A41" s="23"/>
      <c r="B41" s="23"/>
      <c r="C41" s="23"/>
      <c r="D41" s="23"/>
      <c r="E41" s="23"/>
      <c r="F41" s="23"/>
      <c r="G41" s="23"/>
      <c r="H41" s="23"/>
    </row>
    <row r="42" spans="1:8" ht="14" customHeight="1">
      <c r="A42" s="23"/>
      <c r="B42" s="23"/>
      <c r="C42" s="23"/>
      <c r="D42" s="23"/>
      <c r="E42" s="23"/>
      <c r="F42" s="23"/>
      <c r="G42" s="23"/>
      <c r="H42" s="23"/>
    </row>
    <row r="43" spans="1:8" ht="14" customHeight="1"/>
    <row r="44" spans="1:8" ht="14" customHeight="1"/>
    <row r="45" spans="1:8" ht="14" customHeight="1"/>
    <row r="46" spans="1:8" ht="14" customHeight="1"/>
    <row r="47" spans="1:8" ht="14" customHeight="1"/>
    <row r="48" spans="1:8" ht="16.649999999999999" customHeight="1"/>
    <row r="49" ht="16.649999999999999" customHeight="1"/>
    <row r="50" ht="16.649999999999999" customHeight="1"/>
  </sheetData>
  <mergeCells count="54">
    <mergeCell ref="B38:H38"/>
    <mergeCell ref="B39:H39"/>
    <mergeCell ref="B40:H40"/>
    <mergeCell ref="A34:B34"/>
    <mergeCell ref="C34:E34"/>
    <mergeCell ref="F34:H34"/>
    <mergeCell ref="A36:H36"/>
    <mergeCell ref="B37:H37"/>
    <mergeCell ref="A32:B32"/>
    <mergeCell ref="C32:E32"/>
    <mergeCell ref="F32:H32"/>
    <mergeCell ref="A33:B33"/>
    <mergeCell ref="C33:E33"/>
    <mergeCell ref="F33:H33"/>
    <mergeCell ref="A30:B30"/>
    <mergeCell ref="C30:E30"/>
    <mergeCell ref="F30:H30"/>
    <mergeCell ref="A31:B31"/>
    <mergeCell ref="C31:E31"/>
    <mergeCell ref="F31:H31"/>
    <mergeCell ref="A27:H27"/>
    <mergeCell ref="A28:B28"/>
    <mergeCell ref="C28:E28"/>
    <mergeCell ref="F28:H28"/>
    <mergeCell ref="A29:B29"/>
    <mergeCell ref="C29:E29"/>
    <mergeCell ref="F29:H29"/>
    <mergeCell ref="A21:H21"/>
    <mergeCell ref="B22:H22"/>
    <mergeCell ref="B23:H23"/>
    <mergeCell ref="B24:H24"/>
    <mergeCell ref="B25:H25"/>
    <mergeCell ref="A17:B17"/>
    <mergeCell ref="C17:H17"/>
    <mergeCell ref="A18:B18"/>
    <mergeCell ref="C18:H18"/>
    <mergeCell ref="A19:B19"/>
    <mergeCell ref="C19:H19"/>
    <mergeCell ref="G11:H11"/>
    <mergeCell ref="G12:H13"/>
    <mergeCell ref="A15:H15"/>
    <mergeCell ref="A16:B16"/>
    <mergeCell ref="C16:H16"/>
    <mergeCell ref="A11:B11"/>
    <mergeCell ref="A12:B13"/>
    <mergeCell ref="C11:D11"/>
    <mergeCell ref="C12:D13"/>
    <mergeCell ref="E11:F11"/>
    <mergeCell ref="E12:F13"/>
    <mergeCell ref="A1:H2"/>
    <mergeCell ref="A3:H3"/>
    <mergeCell ref="A5:H5"/>
    <mergeCell ref="A6:H8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tabSelected="1" workbookViewId="0">
      <selection activeCell="L19" sqref="L19"/>
    </sheetView>
  </sheetViews>
  <sheetFormatPr defaultRowHeight="14"/>
  <cols>
    <col min="1" max="2" width="14" customWidth="1"/>
    <col min="3" max="3" width="3" customWidth="1"/>
    <col min="4" max="5" width="14" customWidth="1"/>
    <col min="6" max="6" width="3" customWidth="1"/>
    <col min="7" max="10" width="14" customWidth="1"/>
  </cols>
  <sheetData>
    <row r="1" spans="1:13" ht="12.4" customHeight="1">
      <c r="A1" s="71" t="s">
        <v>183</v>
      </c>
      <c r="B1" s="71"/>
      <c r="C1" s="71"/>
      <c r="D1" s="71"/>
      <c r="E1" s="71"/>
      <c r="F1" s="71"/>
      <c r="G1" s="71"/>
      <c r="H1" s="71"/>
      <c r="I1" s="71"/>
      <c r="J1" s="71"/>
    </row>
    <row r="2" spans="1:13" ht="12.4" customHeight="1">
      <c r="A2" s="71"/>
      <c r="B2" s="71"/>
      <c r="C2" s="71"/>
      <c r="D2" s="71"/>
      <c r="E2" s="71"/>
      <c r="F2" s="71"/>
      <c r="G2" s="71"/>
      <c r="H2" s="71"/>
      <c r="I2" s="71"/>
      <c r="J2" s="71"/>
    </row>
    <row r="4" spans="1:13">
      <c r="A4" s="72" t="s">
        <v>184</v>
      </c>
      <c r="B4" s="72"/>
      <c r="D4" s="72" t="s">
        <v>185</v>
      </c>
      <c r="E4" s="72"/>
      <c r="G4" s="72" t="s">
        <v>186</v>
      </c>
      <c r="H4" s="72"/>
      <c r="I4" s="72" t="s">
        <v>66</v>
      </c>
      <c r="J4" s="72"/>
    </row>
    <row r="5" spans="1:13">
      <c r="A5" s="73">
        <f>COUNTA(Data!A2:A81)</f>
        <v>80</v>
      </c>
      <c r="B5" s="74"/>
      <c r="D5" s="73">
        <f>COUNTA(L11:L18)</f>
        <v>8</v>
      </c>
      <c r="E5" s="74"/>
      <c r="G5" s="73">
        <f>COUNTIF(Data!F2:F81,"Alzheimer's Dementia")</f>
        <v>22</v>
      </c>
      <c r="H5" s="74"/>
      <c r="I5" s="73">
        <f>COUNTIF(Data!F2:F81,"Alcohol Dependence")</f>
        <v>9</v>
      </c>
      <c r="J5" s="74"/>
    </row>
    <row r="6" spans="1:13">
      <c r="A6" s="75"/>
      <c r="B6" s="76"/>
      <c r="D6" s="75"/>
      <c r="E6" s="76"/>
      <c r="G6" s="75"/>
      <c r="H6" s="76"/>
      <c r="I6" s="75"/>
      <c r="J6" s="76"/>
    </row>
    <row r="9" spans="1:13">
      <c r="A9" s="1" t="s">
        <v>5</v>
      </c>
      <c r="B9" s="1" t="s">
        <v>187</v>
      </c>
      <c r="D9" s="1" t="s">
        <v>3</v>
      </c>
      <c r="E9" s="1" t="s">
        <v>187</v>
      </c>
      <c r="G9" s="1" t="s">
        <v>9</v>
      </c>
      <c r="H9" s="1" t="s">
        <v>187</v>
      </c>
    </row>
    <row r="10" spans="1:13">
      <c r="A10" s="13" t="s">
        <v>14</v>
      </c>
      <c r="B10" s="14">
        <f>COUNTIF(Data!F2:F81,A10)</f>
        <v>49</v>
      </c>
      <c r="D10" s="13" t="s">
        <v>13</v>
      </c>
      <c r="E10" s="14">
        <f>COUNTIF(Data!D2:D81,D10)</f>
        <v>45</v>
      </c>
      <c r="G10" s="13" t="s">
        <v>189</v>
      </c>
      <c r="H10" s="14">
        <f>COUNTIF(Data!J2:J81,G10)</f>
        <v>5</v>
      </c>
      <c r="L10" s="1" t="s">
        <v>188</v>
      </c>
      <c r="M10" s="1" t="s">
        <v>187</v>
      </c>
    </row>
    <row r="11" spans="1:13">
      <c r="A11" s="15" t="s">
        <v>27</v>
      </c>
      <c r="B11" s="16">
        <f>COUNTIF(Data!F2:F81,A11)</f>
        <v>22</v>
      </c>
      <c r="D11" s="17" t="s">
        <v>17</v>
      </c>
      <c r="E11" s="18">
        <f>COUNTIF(Data!D2:D81,D11)</f>
        <v>35</v>
      </c>
      <c r="G11" s="15" t="s">
        <v>190</v>
      </c>
      <c r="H11" s="16">
        <f>COUNTIF(Data!J2:J81,G11)</f>
        <v>53</v>
      </c>
      <c r="L11" t="s">
        <v>51</v>
      </c>
      <c r="M11">
        <f>COUNTIF(Data!B2:B81,L11)</f>
        <v>7</v>
      </c>
    </row>
    <row r="12" spans="1:13">
      <c r="A12" s="17" t="s">
        <v>66</v>
      </c>
      <c r="B12" s="18">
        <f>COUNTIF(Data!F2:F81,A12)</f>
        <v>9</v>
      </c>
      <c r="G12" s="15" t="s">
        <v>191</v>
      </c>
      <c r="H12" s="16">
        <f>COUNTIF(Data!J2:J81,G12)</f>
        <v>15</v>
      </c>
      <c r="L12" t="s">
        <v>11</v>
      </c>
      <c r="M12">
        <f>COUNTIF(Data!B2:B81,L12)</f>
        <v>12</v>
      </c>
    </row>
    <row r="13" spans="1:13">
      <c r="G13" s="17" t="s">
        <v>192</v>
      </c>
      <c r="H13" s="18">
        <f>COUNTIF(Data!J2:J81,G13)</f>
        <v>7</v>
      </c>
      <c r="L13" t="s">
        <v>56</v>
      </c>
      <c r="M13">
        <f>COUNTIF(Data!B2:B81,L13)</f>
        <v>4</v>
      </c>
    </row>
    <row r="14" spans="1:13">
      <c r="L14" t="s">
        <v>19</v>
      </c>
      <c r="M14">
        <f>COUNTIF(Data!B2:B81,L14)</f>
        <v>12</v>
      </c>
    </row>
    <row r="15" spans="1:13">
      <c r="L15" t="s">
        <v>35</v>
      </c>
      <c r="M15">
        <f>COUNTIF(Data!B2:B81,L15)</f>
        <v>12</v>
      </c>
    </row>
    <row r="16" spans="1:13">
      <c r="L16" t="s">
        <v>25</v>
      </c>
      <c r="M16">
        <f>COUNTIF(Data!B2:B81,L16)</f>
        <v>12</v>
      </c>
    </row>
    <row r="17" spans="12:13">
      <c r="L17" t="s">
        <v>22</v>
      </c>
      <c r="M17">
        <f>COUNTIF(Data!B2:B81,L17)</f>
        <v>11</v>
      </c>
    </row>
    <row r="18" spans="12:13">
      <c r="L18" t="s">
        <v>42</v>
      </c>
      <c r="M18">
        <f>COUNTIF(Data!B2:B81,L18)</f>
        <v>10</v>
      </c>
    </row>
  </sheetData>
  <mergeCells count="9">
    <mergeCell ref="A1:J2"/>
    <mergeCell ref="A4:B4"/>
    <mergeCell ref="A5:B6"/>
    <mergeCell ref="D4:E4"/>
    <mergeCell ref="D5:E6"/>
    <mergeCell ref="G4:H4"/>
    <mergeCell ref="G5:H6"/>
    <mergeCell ref="I4:J4"/>
    <mergeCell ref="I5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workbookViewId="0"/>
  </sheetViews>
  <sheetFormatPr defaultRowHeight="14"/>
  <cols>
    <col min="1" max="1" width="12" customWidth="1"/>
    <col min="2" max="3" width="14" customWidth="1"/>
    <col min="4" max="4" width="11" customWidth="1"/>
    <col min="5" max="5" width="8" customWidth="1"/>
    <col min="6" max="7" width="24" customWidth="1"/>
    <col min="8" max="8" width="25" customWidth="1"/>
    <col min="9" max="9" width="29" customWidth="1"/>
    <col min="10" max="10" width="14" customWidth="1"/>
  </cols>
  <sheetData>
    <row r="1" spans="1:10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10">
        <v>62</v>
      </c>
      <c r="F2" s="3" t="s">
        <v>14</v>
      </c>
      <c r="G2" s="10">
        <v>3</v>
      </c>
      <c r="H2" s="10">
        <v>2</v>
      </c>
      <c r="I2" s="10">
        <v>0</v>
      </c>
      <c r="J2" s="4" t="str">
        <f t="shared" ref="J2:J33" si="0">IF(E2=0,"Unknown",IF(E2&lt;13,"Under 13",IF(E2&lt;=60,"13-60","Over 60")))</f>
        <v>Over 60</v>
      </c>
    </row>
    <row r="3" spans="1:10">
      <c r="A3" s="5" t="s">
        <v>15</v>
      </c>
      <c r="B3" t="s">
        <v>11</v>
      </c>
      <c r="C3" t="s">
        <v>16</v>
      </c>
      <c r="D3" t="s">
        <v>17</v>
      </c>
      <c r="E3" s="11">
        <v>0</v>
      </c>
      <c r="F3" t="s">
        <v>14</v>
      </c>
      <c r="G3" s="11">
        <v>4</v>
      </c>
      <c r="H3" s="11">
        <v>1</v>
      </c>
      <c r="I3" s="11">
        <v>0</v>
      </c>
      <c r="J3" s="6" t="str">
        <f t="shared" si="0"/>
        <v>Unknown</v>
      </c>
    </row>
    <row r="4" spans="1:10">
      <c r="A4" s="5" t="s">
        <v>18</v>
      </c>
      <c r="B4" t="s">
        <v>19</v>
      </c>
      <c r="C4" t="s">
        <v>20</v>
      </c>
      <c r="D4" t="s">
        <v>17</v>
      </c>
      <c r="E4" s="11">
        <v>15</v>
      </c>
      <c r="F4" t="s">
        <v>14</v>
      </c>
      <c r="G4" s="11">
        <v>1</v>
      </c>
      <c r="H4" s="11">
        <v>1</v>
      </c>
      <c r="I4" s="11">
        <v>0</v>
      </c>
      <c r="J4" s="6" t="str">
        <f t="shared" si="0"/>
        <v>13-60</v>
      </c>
    </row>
    <row r="5" spans="1:10">
      <c r="A5" s="5" t="s">
        <v>21</v>
      </c>
      <c r="B5" t="s">
        <v>22</v>
      </c>
      <c r="C5" t="s">
        <v>23</v>
      </c>
      <c r="D5" t="s">
        <v>17</v>
      </c>
      <c r="E5" s="11">
        <v>21</v>
      </c>
      <c r="F5" t="s">
        <v>14</v>
      </c>
      <c r="G5" s="11">
        <v>6</v>
      </c>
      <c r="H5" s="11">
        <v>0</v>
      </c>
      <c r="I5" s="11">
        <v>0</v>
      </c>
      <c r="J5" s="6" t="str">
        <f t="shared" si="0"/>
        <v>13-60</v>
      </c>
    </row>
    <row r="6" spans="1:10">
      <c r="A6" s="5" t="s">
        <v>24</v>
      </c>
      <c r="B6" t="s">
        <v>25</v>
      </c>
      <c r="C6" t="s">
        <v>26</v>
      </c>
      <c r="D6" t="s">
        <v>17</v>
      </c>
      <c r="E6" s="11">
        <v>50</v>
      </c>
      <c r="F6" t="s">
        <v>27</v>
      </c>
      <c r="G6" s="11">
        <v>12</v>
      </c>
      <c r="H6" s="11">
        <v>1</v>
      </c>
      <c r="I6" s="11">
        <v>0</v>
      </c>
      <c r="J6" s="6" t="str">
        <f t="shared" si="0"/>
        <v>13-60</v>
      </c>
    </row>
    <row r="7" spans="1:10">
      <c r="A7" s="5" t="s">
        <v>28</v>
      </c>
      <c r="B7" t="s">
        <v>22</v>
      </c>
      <c r="C7" t="s">
        <v>29</v>
      </c>
      <c r="D7" t="s">
        <v>13</v>
      </c>
      <c r="E7" s="11">
        <v>45</v>
      </c>
      <c r="F7" t="s">
        <v>27</v>
      </c>
      <c r="G7" s="11">
        <v>10</v>
      </c>
      <c r="H7" s="11">
        <v>2</v>
      </c>
      <c r="I7" s="11">
        <v>0</v>
      </c>
      <c r="J7" s="6" t="str">
        <f t="shared" si="0"/>
        <v>13-60</v>
      </c>
    </row>
    <row r="8" spans="1:10">
      <c r="A8" s="5" t="s">
        <v>30</v>
      </c>
      <c r="B8" t="s">
        <v>19</v>
      </c>
      <c r="C8" t="s">
        <v>31</v>
      </c>
      <c r="D8" t="s">
        <v>13</v>
      </c>
      <c r="E8" s="11">
        <v>0</v>
      </c>
      <c r="F8" t="s">
        <v>14</v>
      </c>
      <c r="G8" s="11">
        <v>5</v>
      </c>
      <c r="H8" s="11">
        <v>4</v>
      </c>
      <c r="I8" s="11">
        <v>1</v>
      </c>
      <c r="J8" s="6" t="str">
        <f t="shared" si="0"/>
        <v>Unknown</v>
      </c>
    </row>
    <row r="9" spans="1:10">
      <c r="A9" s="5" t="s">
        <v>32</v>
      </c>
      <c r="B9" t="s">
        <v>11</v>
      </c>
      <c r="C9" t="s">
        <v>33</v>
      </c>
      <c r="D9" t="s">
        <v>17</v>
      </c>
      <c r="E9" s="11">
        <v>21</v>
      </c>
      <c r="F9" t="s">
        <v>27</v>
      </c>
      <c r="G9" s="11">
        <v>6</v>
      </c>
      <c r="H9" s="11">
        <v>0</v>
      </c>
      <c r="I9" s="11">
        <v>0</v>
      </c>
      <c r="J9" s="6" t="str">
        <f t="shared" si="0"/>
        <v>13-60</v>
      </c>
    </row>
    <row r="10" spans="1:10">
      <c r="A10" s="5" t="s">
        <v>34</v>
      </c>
      <c r="B10" t="s">
        <v>35</v>
      </c>
      <c r="C10" t="s">
        <v>36</v>
      </c>
      <c r="D10" t="s">
        <v>13</v>
      </c>
      <c r="E10" s="11">
        <v>50</v>
      </c>
      <c r="F10" t="s">
        <v>14</v>
      </c>
      <c r="G10" s="11">
        <v>12</v>
      </c>
      <c r="H10" s="11">
        <v>0</v>
      </c>
      <c r="I10" s="11">
        <v>0</v>
      </c>
      <c r="J10" s="6" t="str">
        <f t="shared" si="0"/>
        <v>13-60</v>
      </c>
    </row>
    <row r="11" spans="1:10">
      <c r="A11" s="5" t="s">
        <v>37</v>
      </c>
      <c r="B11" t="s">
        <v>35</v>
      </c>
      <c r="C11" t="s">
        <v>38</v>
      </c>
      <c r="D11" t="s">
        <v>13</v>
      </c>
      <c r="E11" s="11">
        <v>57</v>
      </c>
      <c r="F11" t="s">
        <v>27</v>
      </c>
      <c r="G11" s="11">
        <v>1</v>
      </c>
      <c r="H11" s="11">
        <v>0</v>
      </c>
      <c r="I11" s="11">
        <v>0</v>
      </c>
      <c r="J11" s="6" t="str">
        <f t="shared" si="0"/>
        <v>13-60</v>
      </c>
    </row>
    <row r="12" spans="1:10">
      <c r="A12" s="5" t="s">
        <v>39</v>
      </c>
      <c r="B12" t="s">
        <v>25</v>
      </c>
      <c r="C12" t="s">
        <v>40</v>
      </c>
      <c r="D12" t="s">
        <v>17</v>
      </c>
      <c r="E12" s="11">
        <v>20</v>
      </c>
      <c r="F12" t="s">
        <v>14</v>
      </c>
      <c r="G12" s="11">
        <v>10</v>
      </c>
      <c r="H12" s="11">
        <v>2</v>
      </c>
      <c r="I12" s="11">
        <v>0</v>
      </c>
      <c r="J12" s="6" t="str">
        <f t="shared" si="0"/>
        <v>13-60</v>
      </c>
    </row>
    <row r="13" spans="1:10">
      <c r="A13" s="5" t="s">
        <v>41</v>
      </c>
      <c r="B13" t="s">
        <v>42</v>
      </c>
      <c r="C13" t="s">
        <v>43</v>
      </c>
      <c r="D13" t="s">
        <v>17</v>
      </c>
      <c r="E13" s="11">
        <v>75</v>
      </c>
      <c r="F13" t="s">
        <v>27</v>
      </c>
      <c r="G13" s="11">
        <v>3</v>
      </c>
      <c r="H13" s="11">
        <v>0</v>
      </c>
      <c r="I13" s="11">
        <v>0</v>
      </c>
      <c r="J13" s="6" t="str">
        <f t="shared" si="0"/>
        <v>Over 60</v>
      </c>
    </row>
    <row r="14" spans="1:10">
      <c r="A14" s="5" t="s">
        <v>44</v>
      </c>
      <c r="B14" t="s">
        <v>35</v>
      </c>
      <c r="C14" t="s">
        <v>45</v>
      </c>
      <c r="D14" t="s">
        <v>17</v>
      </c>
      <c r="E14" s="11">
        <v>76</v>
      </c>
      <c r="F14" t="s">
        <v>14</v>
      </c>
      <c r="G14" s="11">
        <v>4</v>
      </c>
      <c r="H14" s="11">
        <v>4</v>
      </c>
      <c r="I14" s="11">
        <v>0</v>
      </c>
      <c r="J14" s="6" t="str">
        <f t="shared" si="0"/>
        <v>Over 60</v>
      </c>
    </row>
    <row r="15" spans="1:10">
      <c r="A15" s="5" t="s">
        <v>46</v>
      </c>
      <c r="B15" t="s">
        <v>42</v>
      </c>
      <c r="C15" t="s">
        <v>47</v>
      </c>
      <c r="D15" t="s">
        <v>13</v>
      </c>
      <c r="E15" s="11">
        <v>64</v>
      </c>
      <c r="F15" t="s">
        <v>27</v>
      </c>
      <c r="G15" s="11">
        <v>3</v>
      </c>
      <c r="H15" s="11">
        <v>1</v>
      </c>
      <c r="I15" s="11">
        <v>1</v>
      </c>
      <c r="J15" s="6" t="str">
        <f t="shared" si="0"/>
        <v>Over 60</v>
      </c>
    </row>
    <row r="16" spans="1:10">
      <c r="A16" s="5" t="s">
        <v>48</v>
      </c>
      <c r="B16" t="s">
        <v>22</v>
      </c>
      <c r="C16" t="s">
        <v>49</v>
      </c>
      <c r="D16" t="s">
        <v>13</v>
      </c>
      <c r="E16" s="11">
        <v>30</v>
      </c>
      <c r="F16" t="s">
        <v>14</v>
      </c>
      <c r="G16" s="11">
        <v>8</v>
      </c>
      <c r="H16" s="11">
        <v>1</v>
      </c>
      <c r="I16" s="11">
        <v>2</v>
      </c>
      <c r="J16" s="6" t="str">
        <f t="shared" si="0"/>
        <v>13-60</v>
      </c>
    </row>
    <row r="17" spans="1:10">
      <c r="A17" s="5" t="s">
        <v>50</v>
      </c>
      <c r="B17" t="s">
        <v>51</v>
      </c>
      <c r="C17" t="s">
        <v>52</v>
      </c>
      <c r="D17" t="s">
        <v>13</v>
      </c>
      <c r="E17" s="11">
        <v>57</v>
      </c>
      <c r="F17" t="s">
        <v>14</v>
      </c>
      <c r="G17" s="11">
        <v>5</v>
      </c>
      <c r="H17" s="11">
        <v>2</v>
      </c>
      <c r="I17" s="11">
        <v>0</v>
      </c>
      <c r="J17" s="6" t="str">
        <f t="shared" si="0"/>
        <v>13-60</v>
      </c>
    </row>
    <row r="18" spans="1:10">
      <c r="A18" s="5" t="s">
        <v>53</v>
      </c>
      <c r="B18" t="s">
        <v>35</v>
      </c>
      <c r="C18" t="s">
        <v>54</v>
      </c>
      <c r="D18" t="s">
        <v>17</v>
      </c>
      <c r="E18" s="11">
        <v>10</v>
      </c>
      <c r="F18" t="s">
        <v>14</v>
      </c>
      <c r="G18" s="11">
        <v>12</v>
      </c>
      <c r="H18" s="11">
        <v>2</v>
      </c>
      <c r="I18" s="11">
        <v>0</v>
      </c>
      <c r="J18" s="6" t="str">
        <f t="shared" si="0"/>
        <v>Under 13</v>
      </c>
    </row>
    <row r="19" spans="1:10">
      <c r="A19" s="5" t="s">
        <v>55</v>
      </c>
      <c r="B19" t="s">
        <v>56</v>
      </c>
      <c r="C19" t="s">
        <v>57</v>
      </c>
      <c r="D19" t="s">
        <v>13</v>
      </c>
      <c r="E19" s="11">
        <v>74</v>
      </c>
      <c r="F19" t="s">
        <v>14</v>
      </c>
      <c r="G19" s="11">
        <v>11</v>
      </c>
      <c r="H19" s="11">
        <v>1</v>
      </c>
      <c r="I19" s="11">
        <v>0</v>
      </c>
      <c r="J19" s="6" t="str">
        <f t="shared" si="0"/>
        <v>Over 60</v>
      </c>
    </row>
    <row r="20" spans="1:10">
      <c r="A20" s="5" t="s">
        <v>58</v>
      </c>
      <c r="B20" t="s">
        <v>25</v>
      </c>
      <c r="C20" t="s">
        <v>59</v>
      </c>
      <c r="D20" t="s">
        <v>13</v>
      </c>
      <c r="E20" s="11">
        <v>44</v>
      </c>
      <c r="F20" t="s">
        <v>27</v>
      </c>
      <c r="G20" s="11">
        <v>9</v>
      </c>
      <c r="H20" s="11">
        <v>3</v>
      </c>
      <c r="I20" s="11">
        <v>0</v>
      </c>
      <c r="J20" s="6" t="str">
        <f t="shared" si="0"/>
        <v>13-60</v>
      </c>
    </row>
    <row r="21" spans="1:10">
      <c r="A21" s="5" t="s">
        <v>60</v>
      </c>
      <c r="B21" t="s">
        <v>42</v>
      </c>
      <c r="C21" t="s">
        <v>61</v>
      </c>
      <c r="D21" t="s">
        <v>13</v>
      </c>
      <c r="E21" s="11">
        <v>6</v>
      </c>
      <c r="F21" t="s">
        <v>14</v>
      </c>
      <c r="G21" s="11">
        <v>5</v>
      </c>
      <c r="H21" s="11">
        <v>0</v>
      </c>
      <c r="I21" s="11">
        <v>0</v>
      </c>
      <c r="J21" s="6" t="str">
        <f t="shared" si="0"/>
        <v>Under 13</v>
      </c>
    </row>
    <row r="22" spans="1:10">
      <c r="A22" s="5" t="s">
        <v>62</v>
      </c>
      <c r="B22" t="s">
        <v>11</v>
      </c>
      <c r="C22" t="s">
        <v>63</v>
      </c>
      <c r="D22" t="s">
        <v>13</v>
      </c>
      <c r="E22" s="11">
        <v>61</v>
      </c>
      <c r="F22" t="s">
        <v>27</v>
      </c>
      <c r="G22" s="11">
        <v>9</v>
      </c>
      <c r="H22" s="11">
        <v>2</v>
      </c>
      <c r="I22" s="11">
        <v>0</v>
      </c>
      <c r="J22" s="6" t="str">
        <f t="shared" si="0"/>
        <v>Over 60</v>
      </c>
    </row>
    <row r="23" spans="1:10">
      <c r="A23" s="5" t="s">
        <v>64</v>
      </c>
      <c r="B23" t="s">
        <v>42</v>
      </c>
      <c r="C23" t="s">
        <v>65</v>
      </c>
      <c r="D23" t="s">
        <v>13</v>
      </c>
      <c r="E23" s="11">
        <v>19</v>
      </c>
      <c r="F23" t="s">
        <v>66</v>
      </c>
      <c r="G23" s="11">
        <v>7</v>
      </c>
      <c r="H23" s="11">
        <v>3</v>
      </c>
      <c r="I23" s="11">
        <v>2</v>
      </c>
      <c r="J23" s="6" t="str">
        <f t="shared" si="0"/>
        <v>13-60</v>
      </c>
    </row>
    <row r="24" spans="1:10">
      <c r="A24" s="5" t="s">
        <v>67</v>
      </c>
      <c r="B24" t="s">
        <v>19</v>
      </c>
      <c r="C24" t="s">
        <v>68</v>
      </c>
      <c r="D24" t="s">
        <v>17</v>
      </c>
      <c r="E24" s="11">
        <v>31</v>
      </c>
      <c r="F24" t="s">
        <v>27</v>
      </c>
      <c r="G24" s="11">
        <v>6</v>
      </c>
      <c r="H24" s="11">
        <v>0</v>
      </c>
      <c r="I24" s="11">
        <v>0</v>
      </c>
      <c r="J24" s="6" t="str">
        <f t="shared" si="0"/>
        <v>13-60</v>
      </c>
    </row>
    <row r="25" spans="1:10">
      <c r="A25" s="5" t="s">
        <v>69</v>
      </c>
      <c r="B25" t="s">
        <v>11</v>
      </c>
      <c r="C25" t="s">
        <v>70</v>
      </c>
      <c r="D25" t="s">
        <v>13</v>
      </c>
      <c r="E25" s="11">
        <v>16</v>
      </c>
      <c r="F25" t="s">
        <v>14</v>
      </c>
      <c r="G25" s="11">
        <v>10</v>
      </c>
      <c r="H25" s="11">
        <v>1</v>
      </c>
      <c r="I25" s="11">
        <v>0</v>
      </c>
      <c r="J25" s="6" t="str">
        <f t="shared" si="0"/>
        <v>13-60</v>
      </c>
    </row>
    <row r="26" spans="1:10">
      <c r="A26" s="5" t="s">
        <v>71</v>
      </c>
      <c r="B26" t="s">
        <v>51</v>
      </c>
      <c r="C26" t="s">
        <v>72</v>
      </c>
      <c r="D26" t="s">
        <v>13</v>
      </c>
      <c r="E26" s="11">
        <v>59</v>
      </c>
      <c r="F26" t="s">
        <v>14</v>
      </c>
      <c r="G26" s="11">
        <v>2</v>
      </c>
      <c r="H26" s="11">
        <v>2</v>
      </c>
      <c r="I26" s="11">
        <v>1</v>
      </c>
      <c r="J26" s="6" t="str">
        <f t="shared" si="0"/>
        <v>13-60</v>
      </c>
    </row>
    <row r="27" spans="1:10">
      <c r="A27" s="5" t="s">
        <v>73</v>
      </c>
      <c r="B27" t="s">
        <v>11</v>
      </c>
      <c r="C27" t="s">
        <v>74</v>
      </c>
      <c r="D27" t="s">
        <v>13</v>
      </c>
      <c r="E27" s="11">
        <v>21</v>
      </c>
      <c r="F27" t="s">
        <v>14</v>
      </c>
      <c r="G27" s="11">
        <v>9</v>
      </c>
      <c r="H27" s="11">
        <v>0</v>
      </c>
      <c r="I27" s="11">
        <v>2</v>
      </c>
      <c r="J27" s="6" t="str">
        <f t="shared" si="0"/>
        <v>13-60</v>
      </c>
    </row>
    <row r="28" spans="1:10">
      <c r="A28" s="5" t="s">
        <v>75</v>
      </c>
      <c r="B28" t="s">
        <v>42</v>
      </c>
      <c r="C28" t="s">
        <v>76</v>
      </c>
      <c r="D28" t="s">
        <v>13</v>
      </c>
      <c r="E28" s="11">
        <v>66</v>
      </c>
      <c r="F28" t="s">
        <v>27</v>
      </c>
      <c r="G28" s="11">
        <v>4</v>
      </c>
      <c r="H28" s="11">
        <v>0</v>
      </c>
      <c r="I28" s="11">
        <v>0</v>
      </c>
      <c r="J28" s="6" t="str">
        <f t="shared" si="0"/>
        <v>Over 60</v>
      </c>
    </row>
    <row r="29" spans="1:10">
      <c r="A29" s="5" t="s">
        <v>77</v>
      </c>
      <c r="B29" t="s">
        <v>25</v>
      </c>
      <c r="C29" t="s">
        <v>78</v>
      </c>
      <c r="D29" t="s">
        <v>17</v>
      </c>
      <c r="E29" s="11">
        <v>32</v>
      </c>
      <c r="F29" t="s">
        <v>27</v>
      </c>
      <c r="G29" s="11">
        <v>1</v>
      </c>
      <c r="H29" s="11">
        <v>1</v>
      </c>
      <c r="I29" s="11">
        <v>1</v>
      </c>
      <c r="J29" s="6" t="str">
        <f t="shared" si="0"/>
        <v>13-60</v>
      </c>
    </row>
    <row r="30" spans="1:10">
      <c r="A30" s="5" t="s">
        <v>79</v>
      </c>
      <c r="B30" t="s">
        <v>11</v>
      </c>
      <c r="C30" t="s">
        <v>80</v>
      </c>
      <c r="D30" t="s">
        <v>13</v>
      </c>
      <c r="E30" s="11">
        <v>32</v>
      </c>
      <c r="F30" t="s">
        <v>14</v>
      </c>
      <c r="G30" s="11">
        <v>2</v>
      </c>
      <c r="H30" s="11">
        <v>0</v>
      </c>
      <c r="I30" s="11">
        <v>0</v>
      </c>
      <c r="J30" s="6" t="str">
        <f t="shared" si="0"/>
        <v>13-60</v>
      </c>
    </row>
    <row r="31" spans="1:10">
      <c r="A31" s="5" t="s">
        <v>81</v>
      </c>
      <c r="B31" t="s">
        <v>42</v>
      </c>
      <c r="C31" t="s">
        <v>82</v>
      </c>
      <c r="D31" t="s">
        <v>13</v>
      </c>
      <c r="E31" s="11">
        <v>33</v>
      </c>
      <c r="F31" t="s">
        <v>14</v>
      </c>
      <c r="G31" s="11">
        <v>4</v>
      </c>
      <c r="H31" s="11">
        <v>2</v>
      </c>
      <c r="I31" s="11">
        <v>0</v>
      </c>
      <c r="J31" s="6" t="str">
        <f t="shared" si="0"/>
        <v>13-60</v>
      </c>
    </row>
    <row r="32" spans="1:10">
      <c r="A32" s="5" t="s">
        <v>83</v>
      </c>
      <c r="B32" t="s">
        <v>11</v>
      </c>
      <c r="C32" t="s">
        <v>84</v>
      </c>
      <c r="D32" t="s">
        <v>13</v>
      </c>
      <c r="E32" s="11">
        <v>54</v>
      </c>
      <c r="F32" t="s">
        <v>14</v>
      </c>
      <c r="G32" s="11">
        <v>1</v>
      </c>
      <c r="H32" s="11">
        <v>1</v>
      </c>
      <c r="I32" s="11">
        <v>1</v>
      </c>
      <c r="J32" s="6" t="str">
        <f t="shared" si="0"/>
        <v>13-60</v>
      </c>
    </row>
    <row r="33" spans="1:10">
      <c r="A33" s="5" t="s">
        <v>85</v>
      </c>
      <c r="B33" t="s">
        <v>19</v>
      </c>
      <c r="C33" t="s">
        <v>86</v>
      </c>
      <c r="D33" t="s">
        <v>13</v>
      </c>
      <c r="E33" s="11">
        <v>32</v>
      </c>
      <c r="F33" t="s">
        <v>14</v>
      </c>
      <c r="G33" s="11">
        <v>7</v>
      </c>
      <c r="H33" s="11">
        <v>3</v>
      </c>
      <c r="I33" s="11">
        <v>0</v>
      </c>
      <c r="J33" s="6" t="str">
        <f t="shared" si="0"/>
        <v>13-60</v>
      </c>
    </row>
    <row r="34" spans="1:10">
      <c r="A34" s="5" t="s">
        <v>87</v>
      </c>
      <c r="B34" t="s">
        <v>51</v>
      </c>
      <c r="C34" t="s">
        <v>88</v>
      </c>
      <c r="D34" t="s">
        <v>17</v>
      </c>
      <c r="E34" s="11">
        <v>19</v>
      </c>
      <c r="F34" t="s">
        <v>27</v>
      </c>
      <c r="G34" s="11">
        <v>8</v>
      </c>
      <c r="H34" s="11">
        <v>0</v>
      </c>
      <c r="I34" s="11">
        <v>0</v>
      </c>
      <c r="J34" s="6" t="str">
        <f t="shared" ref="J34:J65" si="1">IF(E34=0,"Unknown",IF(E34&lt;13,"Under 13",IF(E34&lt;=60,"13-60","Over 60")))</f>
        <v>13-60</v>
      </c>
    </row>
    <row r="35" spans="1:10">
      <c r="A35" s="5" t="s">
        <v>89</v>
      </c>
      <c r="B35" t="s">
        <v>42</v>
      </c>
      <c r="C35" t="s">
        <v>90</v>
      </c>
      <c r="D35" t="s">
        <v>13</v>
      </c>
      <c r="E35" s="11">
        <v>13</v>
      </c>
      <c r="F35" t="s">
        <v>14</v>
      </c>
      <c r="G35" s="11">
        <v>1</v>
      </c>
      <c r="H35" s="11">
        <v>1</v>
      </c>
      <c r="I35" s="11">
        <v>0</v>
      </c>
      <c r="J35" s="6" t="str">
        <f t="shared" si="1"/>
        <v>13-60</v>
      </c>
    </row>
    <row r="36" spans="1:10">
      <c r="A36" s="5" t="s">
        <v>91</v>
      </c>
      <c r="B36" t="s">
        <v>25</v>
      </c>
      <c r="C36" t="s">
        <v>92</v>
      </c>
      <c r="D36" t="s">
        <v>13</v>
      </c>
      <c r="E36" s="11">
        <v>0</v>
      </c>
      <c r="F36" t="s">
        <v>14</v>
      </c>
      <c r="G36" s="11">
        <v>9</v>
      </c>
      <c r="H36" s="11">
        <v>0</v>
      </c>
      <c r="I36" s="11">
        <v>2</v>
      </c>
      <c r="J36" s="6" t="str">
        <f t="shared" si="1"/>
        <v>Unknown</v>
      </c>
    </row>
    <row r="37" spans="1:10">
      <c r="A37" s="5" t="s">
        <v>93</v>
      </c>
      <c r="B37" t="s">
        <v>11</v>
      </c>
      <c r="C37" t="s">
        <v>94</v>
      </c>
      <c r="D37" t="s">
        <v>13</v>
      </c>
      <c r="E37" s="11">
        <v>0</v>
      </c>
      <c r="F37" t="s">
        <v>14</v>
      </c>
      <c r="G37" s="11">
        <v>4</v>
      </c>
      <c r="H37" s="11">
        <v>0</v>
      </c>
      <c r="I37" s="11">
        <v>2</v>
      </c>
      <c r="J37" s="6" t="str">
        <f t="shared" si="1"/>
        <v>Unknown</v>
      </c>
    </row>
    <row r="38" spans="1:10">
      <c r="A38" s="5" t="s">
        <v>95</v>
      </c>
      <c r="B38" t="s">
        <v>19</v>
      </c>
      <c r="C38" t="s">
        <v>96</v>
      </c>
      <c r="D38" t="s">
        <v>13</v>
      </c>
      <c r="E38" s="11">
        <v>51</v>
      </c>
      <c r="F38" t="s">
        <v>14</v>
      </c>
      <c r="G38" s="11">
        <v>10</v>
      </c>
      <c r="H38" s="11">
        <v>1</v>
      </c>
      <c r="I38" s="11">
        <v>0</v>
      </c>
      <c r="J38" s="6" t="str">
        <f t="shared" si="1"/>
        <v>13-60</v>
      </c>
    </row>
    <row r="39" spans="1:10">
      <c r="A39" s="5" t="s">
        <v>97</v>
      </c>
      <c r="B39" t="s">
        <v>35</v>
      </c>
      <c r="C39" t="s">
        <v>98</v>
      </c>
      <c r="D39" t="s">
        <v>13</v>
      </c>
      <c r="E39" s="11">
        <v>56</v>
      </c>
      <c r="F39" t="s">
        <v>14</v>
      </c>
      <c r="G39" s="11">
        <v>5</v>
      </c>
      <c r="H39" s="11">
        <v>0</v>
      </c>
      <c r="I39" s="11">
        <v>0</v>
      </c>
      <c r="J39" s="6" t="str">
        <f t="shared" si="1"/>
        <v>13-60</v>
      </c>
    </row>
    <row r="40" spans="1:10">
      <c r="A40" s="5" t="s">
        <v>99</v>
      </c>
      <c r="B40" t="s">
        <v>35</v>
      </c>
      <c r="C40" t="s">
        <v>100</v>
      </c>
      <c r="D40" t="s">
        <v>17</v>
      </c>
      <c r="E40" s="11">
        <v>24</v>
      </c>
      <c r="F40" t="s">
        <v>27</v>
      </c>
      <c r="G40" s="11">
        <v>2</v>
      </c>
      <c r="H40" s="11">
        <v>0</v>
      </c>
      <c r="I40" s="11">
        <v>0</v>
      </c>
      <c r="J40" s="6" t="str">
        <f t="shared" si="1"/>
        <v>13-60</v>
      </c>
    </row>
    <row r="41" spans="1:10">
      <c r="A41" s="5" t="s">
        <v>101</v>
      </c>
      <c r="B41" t="s">
        <v>11</v>
      </c>
      <c r="C41" t="s">
        <v>102</v>
      </c>
      <c r="D41" t="s">
        <v>13</v>
      </c>
      <c r="E41" s="11">
        <v>44</v>
      </c>
      <c r="F41" t="s">
        <v>14</v>
      </c>
      <c r="G41" s="11">
        <v>3</v>
      </c>
      <c r="H41" s="11">
        <v>3</v>
      </c>
      <c r="I41" s="11">
        <v>1</v>
      </c>
      <c r="J41" s="6" t="str">
        <f t="shared" si="1"/>
        <v>13-60</v>
      </c>
    </row>
    <row r="42" spans="1:10">
      <c r="A42" s="5" t="s">
        <v>103</v>
      </c>
      <c r="B42" t="s">
        <v>19</v>
      </c>
      <c r="C42" t="s">
        <v>104</v>
      </c>
      <c r="D42" t="s">
        <v>17</v>
      </c>
      <c r="E42" s="11">
        <v>21</v>
      </c>
      <c r="F42" t="s">
        <v>14</v>
      </c>
      <c r="G42" s="11">
        <v>9</v>
      </c>
      <c r="H42" s="11">
        <v>1</v>
      </c>
      <c r="I42" s="11">
        <v>0</v>
      </c>
      <c r="J42" s="6" t="str">
        <f t="shared" si="1"/>
        <v>13-60</v>
      </c>
    </row>
    <row r="43" spans="1:10">
      <c r="A43" s="5" t="s">
        <v>105</v>
      </c>
      <c r="B43" t="s">
        <v>51</v>
      </c>
      <c r="C43" t="s">
        <v>106</v>
      </c>
      <c r="D43" t="s">
        <v>17</v>
      </c>
      <c r="E43" s="11">
        <v>79</v>
      </c>
      <c r="F43" t="s">
        <v>14</v>
      </c>
      <c r="G43" s="11">
        <v>3</v>
      </c>
      <c r="H43" s="11">
        <v>0</v>
      </c>
      <c r="I43" s="11">
        <v>1</v>
      </c>
      <c r="J43" s="6" t="str">
        <f t="shared" si="1"/>
        <v>Over 60</v>
      </c>
    </row>
    <row r="44" spans="1:10">
      <c r="A44" s="5" t="s">
        <v>107</v>
      </c>
      <c r="B44" t="s">
        <v>56</v>
      </c>
      <c r="C44" t="s">
        <v>108</v>
      </c>
      <c r="D44" t="s">
        <v>17</v>
      </c>
      <c r="E44" s="11">
        <v>21</v>
      </c>
      <c r="F44" t="s">
        <v>14</v>
      </c>
      <c r="G44" s="11">
        <v>6</v>
      </c>
      <c r="H44" s="11">
        <v>0</v>
      </c>
      <c r="I44" s="11">
        <v>0</v>
      </c>
      <c r="J44" s="6" t="str">
        <f t="shared" si="1"/>
        <v>13-60</v>
      </c>
    </row>
    <row r="45" spans="1:10">
      <c r="A45" s="5" t="s">
        <v>109</v>
      </c>
      <c r="B45" t="s">
        <v>35</v>
      </c>
      <c r="C45" t="s">
        <v>110</v>
      </c>
      <c r="D45" t="s">
        <v>17</v>
      </c>
      <c r="E45" s="11">
        <v>18</v>
      </c>
      <c r="F45" t="s">
        <v>66</v>
      </c>
      <c r="G45" s="11">
        <v>1</v>
      </c>
      <c r="H45" s="11">
        <v>0</v>
      </c>
      <c r="I45" s="11">
        <v>0</v>
      </c>
      <c r="J45" s="6" t="str">
        <f t="shared" si="1"/>
        <v>13-60</v>
      </c>
    </row>
    <row r="46" spans="1:10">
      <c r="A46" s="5" t="s">
        <v>111</v>
      </c>
      <c r="B46" t="s">
        <v>35</v>
      </c>
      <c r="C46" t="s">
        <v>112</v>
      </c>
      <c r="D46" t="s">
        <v>13</v>
      </c>
      <c r="E46" s="11">
        <v>0</v>
      </c>
      <c r="F46" t="s">
        <v>27</v>
      </c>
      <c r="G46" s="11">
        <v>11</v>
      </c>
      <c r="H46" s="11">
        <v>4</v>
      </c>
      <c r="I46" s="11">
        <v>0</v>
      </c>
      <c r="J46" s="6" t="str">
        <f t="shared" si="1"/>
        <v>Unknown</v>
      </c>
    </row>
    <row r="47" spans="1:10">
      <c r="A47" s="5" t="s">
        <v>113</v>
      </c>
      <c r="B47" t="s">
        <v>42</v>
      </c>
      <c r="C47" t="s">
        <v>114</v>
      </c>
      <c r="D47" t="s">
        <v>17</v>
      </c>
      <c r="E47" s="11">
        <v>46</v>
      </c>
      <c r="F47" t="s">
        <v>14</v>
      </c>
      <c r="G47" s="11">
        <v>12</v>
      </c>
      <c r="H47" s="11">
        <v>3</v>
      </c>
      <c r="I47" s="11">
        <v>0</v>
      </c>
      <c r="J47" s="6" t="str">
        <f t="shared" si="1"/>
        <v>13-60</v>
      </c>
    </row>
    <row r="48" spans="1:10">
      <c r="A48" s="5" t="s">
        <v>115</v>
      </c>
      <c r="B48" t="s">
        <v>25</v>
      </c>
      <c r="C48" t="s">
        <v>116</v>
      </c>
      <c r="D48" t="s">
        <v>13</v>
      </c>
      <c r="E48" s="11">
        <v>34</v>
      </c>
      <c r="F48" t="s">
        <v>14</v>
      </c>
      <c r="G48" s="11">
        <v>6</v>
      </c>
      <c r="H48" s="11">
        <v>3</v>
      </c>
      <c r="I48" s="11">
        <v>1</v>
      </c>
      <c r="J48" s="6" t="str">
        <f t="shared" si="1"/>
        <v>13-60</v>
      </c>
    </row>
    <row r="49" spans="1:10">
      <c r="A49" s="5" t="s">
        <v>117</v>
      </c>
      <c r="B49" t="s">
        <v>51</v>
      </c>
      <c r="C49" t="s">
        <v>118</v>
      </c>
      <c r="D49" t="s">
        <v>17</v>
      </c>
      <c r="E49" s="11">
        <v>14</v>
      </c>
      <c r="F49" t="s">
        <v>14</v>
      </c>
      <c r="G49" s="11">
        <v>2</v>
      </c>
      <c r="H49" s="11">
        <v>0</v>
      </c>
      <c r="I49" s="11">
        <v>0</v>
      </c>
      <c r="J49" s="6" t="str">
        <f t="shared" si="1"/>
        <v>13-60</v>
      </c>
    </row>
    <row r="50" spans="1:10">
      <c r="A50" s="5" t="s">
        <v>119</v>
      </c>
      <c r="B50" t="s">
        <v>22</v>
      </c>
      <c r="C50" t="s">
        <v>120</v>
      </c>
      <c r="D50" t="s">
        <v>13</v>
      </c>
      <c r="E50" s="11">
        <v>79</v>
      </c>
      <c r="F50" t="s">
        <v>14</v>
      </c>
      <c r="G50" s="11">
        <v>3</v>
      </c>
      <c r="H50" s="11">
        <v>3</v>
      </c>
      <c r="I50" s="11">
        <v>1</v>
      </c>
      <c r="J50" s="6" t="str">
        <f t="shared" si="1"/>
        <v>Over 60</v>
      </c>
    </row>
    <row r="51" spans="1:10">
      <c r="A51" s="5" t="s">
        <v>121</v>
      </c>
      <c r="B51" t="s">
        <v>22</v>
      </c>
      <c r="C51" t="s">
        <v>122</v>
      </c>
      <c r="D51" t="s">
        <v>13</v>
      </c>
      <c r="E51" s="11">
        <v>12</v>
      </c>
      <c r="F51" t="s">
        <v>66</v>
      </c>
      <c r="G51" s="11">
        <v>7</v>
      </c>
      <c r="H51" s="11">
        <v>2</v>
      </c>
      <c r="I51" s="11">
        <v>1</v>
      </c>
      <c r="J51" s="6" t="str">
        <f t="shared" si="1"/>
        <v>Under 13</v>
      </c>
    </row>
    <row r="52" spans="1:10">
      <c r="A52" s="5" t="s">
        <v>123</v>
      </c>
      <c r="B52" t="s">
        <v>19</v>
      </c>
      <c r="C52" t="s">
        <v>124</v>
      </c>
      <c r="D52" t="s">
        <v>17</v>
      </c>
      <c r="E52" s="11">
        <v>10</v>
      </c>
      <c r="F52" t="s">
        <v>27</v>
      </c>
      <c r="G52" s="11">
        <v>7</v>
      </c>
      <c r="H52" s="11">
        <v>2</v>
      </c>
      <c r="I52" s="11">
        <v>1</v>
      </c>
      <c r="J52" s="6" t="str">
        <f t="shared" si="1"/>
        <v>Under 13</v>
      </c>
    </row>
    <row r="53" spans="1:10">
      <c r="A53" s="5" t="s">
        <v>125</v>
      </c>
      <c r="B53" t="s">
        <v>19</v>
      </c>
      <c r="C53" t="s">
        <v>126</v>
      </c>
      <c r="D53" t="s">
        <v>13</v>
      </c>
      <c r="E53" s="11">
        <v>69</v>
      </c>
      <c r="F53" t="s">
        <v>14</v>
      </c>
      <c r="G53" s="11">
        <v>5</v>
      </c>
      <c r="H53" s="11">
        <v>2</v>
      </c>
      <c r="I53" s="11">
        <v>1</v>
      </c>
      <c r="J53" s="6" t="str">
        <f t="shared" si="1"/>
        <v>Over 60</v>
      </c>
    </row>
    <row r="54" spans="1:10">
      <c r="A54" s="5" t="s">
        <v>127</v>
      </c>
      <c r="B54" t="s">
        <v>19</v>
      </c>
      <c r="C54" t="s">
        <v>128</v>
      </c>
      <c r="D54" t="s">
        <v>13</v>
      </c>
      <c r="E54" s="11">
        <v>55</v>
      </c>
      <c r="F54" t="s">
        <v>14</v>
      </c>
      <c r="G54" s="11">
        <v>5</v>
      </c>
      <c r="H54" s="11">
        <v>2</v>
      </c>
      <c r="I54" s="11">
        <v>2</v>
      </c>
      <c r="J54" s="6" t="str">
        <f t="shared" si="1"/>
        <v>13-60</v>
      </c>
    </row>
    <row r="55" spans="1:10">
      <c r="A55" s="5" t="s">
        <v>129</v>
      </c>
      <c r="B55" t="s">
        <v>35</v>
      </c>
      <c r="C55" t="s">
        <v>130</v>
      </c>
      <c r="D55" t="s">
        <v>17</v>
      </c>
      <c r="E55" s="11">
        <v>53</v>
      </c>
      <c r="F55" t="s">
        <v>14</v>
      </c>
      <c r="G55" s="11">
        <v>9</v>
      </c>
      <c r="H55" s="11">
        <v>0</v>
      </c>
      <c r="I55" s="11">
        <v>0</v>
      </c>
      <c r="J55" s="6" t="str">
        <f t="shared" si="1"/>
        <v>13-60</v>
      </c>
    </row>
    <row r="56" spans="1:10">
      <c r="A56" s="5" t="s">
        <v>131</v>
      </c>
      <c r="B56" t="s">
        <v>35</v>
      </c>
      <c r="C56" t="s">
        <v>132</v>
      </c>
      <c r="D56" t="s">
        <v>13</v>
      </c>
      <c r="E56" s="11">
        <v>48</v>
      </c>
      <c r="F56" t="s">
        <v>66</v>
      </c>
      <c r="G56" s="11">
        <v>1</v>
      </c>
      <c r="H56" s="11">
        <v>0</v>
      </c>
      <c r="I56" s="11">
        <v>0</v>
      </c>
      <c r="J56" s="6" t="str">
        <f t="shared" si="1"/>
        <v>13-60</v>
      </c>
    </row>
    <row r="57" spans="1:10">
      <c r="A57" s="5" t="s">
        <v>133</v>
      </c>
      <c r="B57" t="s">
        <v>25</v>
      </c>
      <c r="C57" t="s">
        <v>134</v>
      </c>
      <c r="D57" t="s">
        <v>17</v>
      </c>
      <c r="E57" s="11">
        <v>50</v>
      </c>
      <c r="F57" t="s">
        <v>14</v>
      </c>
      <c r="G57" s="11">
        <v>7</v>
      </c>
      <c r="H57" s="11">
        <v>3</v>
      </c>
      <c r="I57" s="11">
        <v>0</v>
      </c>
      <c r="J57" s="6" t="str">
        <f t="shared" si="1"/>
        <v>13-60</v>
      </c>
    </row>
    <row r="58" spans="1:10">
      <c r="A58" s="5" t="s">
        <v>135</v>
      </c>
      <c r="B58" t="s">
        <v>51</v>
      </c>
      <c r="C58" t="s">
        <v>136</v>
      </c>
      <c r="D58" t="s">
        <v>17</v>
      </c>
      <c r="E58" s="11">
        <v>0</v>
      </c>
      <c r="F58" t="s">
        <v>66</v>
      </c>
      <c r="G58" s="11">
        <v>9</v>
      </c>
      <c r="H58" s="11">
        <v>1</v>
      </c>
      <c r="I58" s="11">
        <v>2</v>
      </c>
      <c r="J58" s="6" t="str">
        <f t="shared" si="1"/>
        <v>Unknown</v>
      </c>
    </row>
    <row r="59" spans="1:10">
      <c r="A59" s="5" t="s">
        <v>137</v>
      </c>
      <c r="B59" t="s">
        <v>19</v>
      </c>
      <c r="C59" t="s">
        <v>138</v>
      </c>
      <c r="D59" t="s">
        <v>17</v>
      </c>
      <c r="E59" s="11">
        <v>34</v>
      </c>
      <c r="F59" t="s">
        <v>66</v>
      </c>
      <c r="G59" s="11">
        <v>6</v>
      </c>
      <c r="H59" s="11">
        <v>1</v>
      </c>
      <c r="I59" s="11">
        <v>0</v>
      </c>
      <c r="J59" s="6" t="str">
        <f t="shared" si="1"/>
        <v>13-60</v>
      </c>
    </row>
    <row r="60" spans="1:10">
      <c r="A60" s="5" t="s">
        <v>139</v>
      </c>
      <c r="B60" t="s">
        <v>11</v>
      </c>
      <c r="C60" t="s">
        <v>140</v>
      </c>
      <c r="D60" t="s">
        <v>17</v>
      </c>
      <c r="E60" s="11">
        <v>41</v>
      </c>
      <c r="F60" t="s">
        <v>27</v>
      </c>
      <c r="G60" s="11">
        <v>6</v>
      </c>
      <c r="H60" s="11">
        <v>0</v>
      </c>
      <c r="I60" s="11">
        <v>0</v>
      </c>
      <c r="J60" s="6" t="str">
        <f t="shared" si="1"/>
        <v>13-60</v>
      </c>
    </row>
    <row r="61" spans="1:10">
      <c r="A61" s="5" t="s">
        <v>141</v>
      </c>
      <c r="B61" t="s">
        <v>56</v>
      </c>
      <c r="C61" t="s">
        <v>142</v>
      </c>
      <c r="D61" t="s">
        <v>13</v>
      </c>
      <c r="E61" s="11">
        <v>33</v>
      </c>
      <c r="F61" t="s">
        <v>66</v>
      </c>
      <c r="G61" s="11">
        <v>11</v>
      </c>
      <c r="H61" s="11">
        <v>2</v>
      </c>
      <c r="I61" s="11">
        <v>0</v>
      </c>
      <c r="J61" s="6" t="str">
        <f t="shared" si="1"/>
        <v>13-60</v>
      </c>
    </row>
    <row r="62" spans="1:10">
      <c r="A62" s="5" t="s">
        <v>143</v>
      </c>
      <c r="B62" t="s">
        <v>35</v>
      </c>
      <c r="C62" t="s">
        <v>144</v>
      </c>
      <c r="D62" t="s">
        <v>17</v>
      </c>
      <c r="E62" s="11">
        <v>45</v>
      </c>
      <c r="F62" t="s">
        <v>14</v>
      </c>
      <c r="G62" s="11">
        <v>5</v>
      </c>
      <c r="H62" s="11">
        <v>0</v>
      </c>
      <c r="I62" s="11">
        <v>1</v>
      </c>
      <c r="J62" s="6" t="str">
        <f t="shared" si="1"/>
        <v>13-60</v>
      </c>
    </row>
    <row r="63" spans="1:10">
      <c r="A63" s="5" t="s">
        <v>145</v>
      </c>
      <c r="B63" t="s">
        <v>25</v>
      </c>
      <c r="C63" t="s">
        <v>146</v>
      </c>
      <c r="D63" t="s">
        <v>17</v>
      </c>
      <c r="E63" s="11">
        <v>35</v>
      </c>
      <c r="F63" t="s">
        <v>27</v>
      </c>
      <c r="G63" s="11">
        <v>9</v>
      </c>
      <c r="H63" s="11">
        <v>1</v>
      </c>
      <c r="I63" s="11">
        <v>2</v>
      </c>
      <c r="J63" s="6" t="str">
        <f t="shared" si="1"/>
        <v>13-60</v>
      </c>
    </row>
    <row r="64" spans="1:10">
      <c r="A64" s="5" t="s">
        <v>147</v>
      </c>
      <c r="B64" t="s">
        <v>56</v>
      </c>
      <c r="C64" t="s">
        <v>148</v>
      </c>
      <c r="D64" t="s">
        <v>13</v>
      </c>
      <c r="E64" s="11">
        <v>21</v>
      </c>
      <c r="F64" t="s">
        <v>27</v>
      </c>
      <c r="G64" s="11">
        <v>10</v>
      </c>
      <c r="H64" s="11">
        <v>0</v>
      </c>
      <c r="I64" s="11">
        <v>1</v>
      </c>
      <c r="J64" s="6" t="str">
        <f t="shared" si="1"/>
        <v>13-60</v>
      </c>
    </row>
    <row r="65" spans="1:10">
      <c r="A65" s="5" t="s">
        <v>149</v>
      </c>
      <c r="B65" t="s">
        <v>19</v>
      </c>
      <c r="C65" t="s">
        <v>150</v>
      </c>
      <c r="D65" t="s">
        <v>17</v>
      </c>
      <c r="E65" s="11">
        <v>16</v>
      </c>
      <c r="F65" t="s">
        <v>14</v>
      </c>
      <c r="G65" s="11">
        <v>1</v>
      </c>
      <c r="H65" s="11">
        <v>0</v>
      </c>
      <c r="I65" s="11">
        <v>1</v>
      </c>
      <c r="J65" s="6" t="str">
        <f t="shared" si="1"/>
        <v>13-60</v>
      </c>
    </row>
    <row r="66" spans="1:10">
      <c r="A66" s="5" t="s">
        <v>151</v>
      </c>
      <c r="B66" t="s">
        <v>11</v>
      </c>
      <c r="C66" t="s">
        <v>152</v>
      </c>
      <c r="D66" t="s">
        <v>17</v>
      </c>
      <c r="E66" s="11">
        <v>33</v>
      </c>
      <c r="F66" t="s">
        <v>27</v>
      </c>
      <c r="G66" s="11">
        <v>4</v>
      </c>
      <c r="H66" s="11">
        <v>1</v>
      </c>
      <c r="I66" s="11">
        <v>0</v>
      </c>
      <c r="J66" s="6" t="str">
        <f t="shared" ref="J66:J81" si="2">IF(E66=0,"Unknown",IF(E66&lt;13,"Under 13",IF(E66&lt;=60,"13-60","Over 60")))</f>
        <v>13-60</v>
      </c>
    </row>
    <row r="67" spans="1:10">
      <c r="A67" s="5" t="s">
        <v>153</v>
      </c>
      <c r="B67" t="s">
        <v>22</v>
      </c>
      <c r="C67" t="s">
        <v>154</v>
      </c>
      <c r="D67" t="s">
        <v>13</v>
      </c>
      <c r="E67" s="11">
        <v>9</v>
      </c>
      <c r="F67" t="s">
        <v>27</v>
      </c>
      <c r="G67" s="11">
        <v>2</v>
      </c>
      <c r="H67" s="11">
        <v>2</v>
      </c>
      <c r="I67" s="11">
        <v>0</v>
      </c>
      <c r="J67" s="6" t="str">
        <f t="shared" si="2"/>
        <v>Under 13</v>
      </c>
    </row>
    <row r="68" spans="1:10">
      <c r="A68" s="5" t="s">
        <v>155</v>
      </c>
      <c r="B68" t="s">
        <v>42</v>
      </c>
      <c r="C68" t="s">
        <v>156</v>
      </c>
      <c r="D68" t="s">
        <v>13</v>
      </c>
      <c r="E68" s="11">
        <v>46</v>
      </c>
      <c r="F68" t="s">
        <v>66</v>
      </c>
      <c r="G68" s="11">
        <v>2</v>
      </c>
      <c r="H68" s="11">
        <v>1</v>
      </c>
      <c r="I68" s="11">
        <v>1</v>
      </c>
      <c r="J68" s="6" t="str">
        <f t="shared" si="2"/>
        <v>13-60</v>
      </c>
    </row>
    <row r="69" spans="1:10">
      <c r="A69" s="5" t="s">
        <v>157</v>
      </c>
      <c r="B69" t="s">
        <v>25</v>
      </c>
      <c r="C69" t="s">
        <v>158</v>
      </c>
      <c r="D69" t="s">
        <v>17</v>
      </c>
      <c r="E69" s="11">
        <v>51</v>
      </c>
      <c r="F69" t="s">
        <v>27</v>
      </c>
      <c r="G69" s="11">
        <v>9</v>
      </c>
      <c r="H69" s="11">
        <v>0</v>
      </c>
      <c r="I69" s="11">
        <v>2</v>
      </c>
      <c r="J69" s="6" t="str">
        <f t="shared" si="2"/>
        <v>13-60</v>
      </c>
    </row>
    <row r="70" spans="1:10">
      <c r="A70" s="5" t="s">
        <v>159</v>
      </c>
      <c r="B70" t="s">
        <v>42</v>
      </c>
      <c r="C70" t="s">
        <v>160</v>
      </c>
      <c r="D70" t="s">
        <v>13</v>
      </c>
      <c r="E70" s="11">
        <v>62</v>
      </c>
      <c r="F70" t="s">
        <v>14</v>
      </c>
      <c r="G70" s="11">
        <v>5</v>
      </c>
      <c r="H70" s="11">
        <v>2</v>
      </c>
      <c r="I70" s="11">
        <v>1</v>
      </c>
      <c r="J70" s="6" t="str">
        <f t="shared" si="2"/>
        <v>Over 60</v>
      </c>
    </row>
    <row r="71" spans="1:10">
      <c r="A71" s="5" t="s">
        <v>161</v>
      </c>
      <c r="B71" t="s">
        <v>35</v>
      </c>
      <c r="C71" t="s">
        <v>162</v>
      </c>
      <c r="D71" t="s">
        <v>17</v>
      </c>
      <c r="E71" s="11">
        <v>52</v>
      </c>
      <c r="F71" t="s">
        <v>14</v>
      </c>
      <c r="G71" s="11">
        <v>2</v>
      </c>
      <c r="H71" s="11">
        <v>1</v>
      </c>
      <c r="I71" s="11">
        <v>0</v>
      </c>
      <c r="J71" s="6" t="str">
        <f t="shared" si="2"/>
        <v>13-60</v>
      </c>
    </row>
    <row r="72" spans="1:10">
      <c r="A72" s="5" t="s">
        <v>163</v>
      </c>
      <c r="B72" t="s">
        <v>25</v>
      </c>
      <c r="C72" t="s">
        <v>164</v>
      </c>
      <c r="D72" t="s">
        <v>17</v>
      </c>
      <c r="E72" s="11">
        <v>76</v>
      </c>
      <c r="F72" t="s">
        <v>14</v>
      </c>
      <c r="G72" s="11">
        <v>3</v>
      </c>
      <c r="H72" s="11">
        <v>0</v>
      </c>
      <c r="I72" s="11">
        <v>0</v>
      </c>
      <c r="J72" s="6" t="str">
        <f t="shared" si="2"/>
        <v>Over 60</v>
      </c>
    </row>
    <row r="73" spans="1:10">
      <c r="A73" s="5" t="s">
        <v>165</v>
      </c>
      <c r="B73" t="s">
        <v>19</v>
      </c>
      <c r="C73" t="s">
        <v>166</v>
      </c>
      <c r="D73" t="s">
        <v>13</v>
      </c>
      <c r="E73" s="11">
        <v>33</v>
      </c>
      <c r="F73" t="s">
        <v>14</v>
      </c>
      <c r="G73" s="11">
        <v>8</v>
      </c>
      <c r="H73" s="11">
        <v>0</v>
      </c>
      <c r="I73" s="11">
        <v>0</v>
      </c>
      <c r="J73" s="6" t="str">
        <f t="shared" si="2"/>
        <v>13-60</v>
      </c>
    </row>
    <row r="74" spans="1:10">
      <c r="A74" s="5" t="s">
        <v>167</v>
      </c>
      <c r="B74" t="s">
        <v>22</v>
      </c>
      <c r="C74" t="s">
        <v>168</v>
      </c>
      <c r="D74" t="s">
        <v>17</v>
      </c>
      <c r="E74" s="11">
        <v>77</v>
      </c>
      <c r="F74" t="s">
        <v>14</v>
      </c>
      <c r="G74" s="11">
        <v>12</v>
      </c>
      <c r="H74" s="11">
        <v>0</v>
      </c>
      <c r="I74" s="11">
        <v>1</v>
      </c>
      <c r="J74" s="6" t="str">
        <f t="shared" si="2"/>
        <v>Over 60</v>
      </c>
    </row>
    <row r="75" spans="1:10">
      <c r="A75" s="5" t="s">
        <v>169</v>
      </c>
      <c r="B75" t="s">
        <v>22</v>
      </c>
      <c r="C75" t="s">
        <v>170</v>
      </c>
      <c r="D75" t="s">
        <v>17</v>
      </c>
      <c r="E75" s="11">
        <v>0</v>
      </c>
      <c r="F75" t="s">
        <v>14</v>
      </c>
      <c r="G75" s="11">
        <v>7</v>
      </c>
      <c r="H75" s="11">
        <v>2</v>
      </c>
      <c r="I75" s="11">
        <v>2</v>
      </c>
      <c r="J75" s="6" t="str">
        <f t="shared" si="2"/>
        <v>Unknown</v>
      </c>
    </row>
    <row r="76" spans="1:10">
      <c r="A76" s="5" t="s">
        <v>171</v>
      </c>
      <c r="B76" t="s">
        <v>22</v>
      </c>
      <c r="C76" t="s">
        <v>172</v>
      </c>
      <c r="D76" t="s">
        <v>13</v>
      </c>
      <c r="E76" s="11">
        <v>39</v>
      </c>
      <c r="F76" t="s">
        <v>14</v>
      </c>
      <c r="G76" s="11">
        <v>8</v>
      </c>
      <c r="H76" s="11">
        <v>0</v>
      </c>
      <c r="I76" s="11">
        <v>0</v>
      </c>
      <c r="J76" s="6" t="str">
        <f t="shared" si="2"/>
        <v>13-60</v>
      </c>
    </row>
    <row r="77" spans="1:10">
      <c r="A77" s="5" t="s">
        <v>173</v>
      </c>
      <c r="B77" t="s">
        <v>22</v>
      </c>
      <c r="C77" t="s">
        <v>174</v>
      </c>
      <c r="D77" t="s">
        <v>13</v>
      </c>
      <c r="E77" s="11">
        <v>71</v>
      </c>
      <c r="F77" t="s">
        <v>66</v>
      </c>
      <c r="G77" s="11">
        <v>10</v>
      </c>
      <c r="H77" s="11">
        <v>1</v>
      </c>
      <c r="I77" s="11">
        <v>2</v>
      </c>
      <c r="J77" s="6" t="str">
        <f t="shared" si="2"/>
        <v>Over 60</v>
      </c>
    </row>
    <row r="78" spans="1:10">
      <c r="A78" s="5" t="s">
        <v>175</v>
      </c>
      <c r="B78" t="s">
        <v>51</v>
      </c>
      <c r="C78" t="s">
        <v>176</v>
      </c>
      <c r="D78" t="s">
        <v>13</v>
      </c>
      <c r="E78" s="11">
        <v>53</v>
      </c>
      <c r="F78" t="s">
        <v>14</v>
      </c>
      <c r="G78" s="11">
        <v>8</v>
      </c>
      <c r="H78" s="11">
        <v>0</v>
      </c>
      <c r="I78" s="11">
        <v>0</v>
      </c>
      <c r="J78" s="6" t="str">
        <f t="shared" si="2"/>
        <v>13-60</v>
      </c>
    </row>
    <row r="79" spans="1:10">
      <c r="A79" s="5" t="s">
        <v>177</v>
      </c>
      <c r="B79" t="s">
        <v>25</v>
      </c>
      <c r="C79" t="s">
        <v>178</v>
      </c>
      <c r="D79" t="s">
        <v>13</v>
      </c>
      <c r="E79" s="11">
        <v>36</v>
      </c>
      <c r="F79" t="s">
        <v>14</v>
      </c>
      <c r="G79" s="11">
        <v>7</v>
      </c>
      <c r="H79" s="11">
        <v>0</v>
      </c>
      <c r="I79" s="11">
        <v>2</v>
      </c>
      <c r="J79" s="6" t="str">
        <f t="shared" si="2"/>
        <v>13-60</v>
      </c>
    </row>
    <row r="80" spans="1:10">
      <c r="A80" s="5" t="s">
        <v>179</v>
      </c>
      <c r="B80" t="s">
        <v>22</v>
      </c>
      <c r="C80" t="s">
        <v>180</v>
      </c>
      <c r="D80" t="s">
        <v>17</v>
      </c>
      <c r="E80" s="11">
        <v>71</v>
      </c>
      <c r="F80" t="s">
        <v>14</v>
      </c>
      <c r="G80" s="11">
        <v>12</v>
      </c>
      <c r="H80" s="11">
        <v>1</v>
      </c>
      <c r="I80" s="11">
        <v>3</v>
      </c>
      <c r="J80" s="6" t="str">
        <f t="shared" si="2"/>
        <v>Over 60</v>
      </c>
    </row>
    <row r="81" spans="1:10">
      <c r="A81" s="7" t="s">
        <v>181</v>
      </c>
      <c r="B81" s="8" t="s">
        <v>25</v>
      </c>
      <c r="C81" s="8" t="s">
        <v>182</v>
      </c>
      <c r="D81" s="8" t="s">
        <v>13</v>
      </c>
      <c r="E81" s="12">
        <v>54</v>
      </c>
      <c r="F81" s="8" t="s">
        <v>27</v>
      </c>
      <c r="G81" s="12">
        <v>11</v>
      </c>
      <c r="H81" s="12">
        <v>0</v>
      </c>
      <c r="I81" s="12">
        <v>0</v>
      </c>
      <c r="J81" s="9" t="str">
        <f t="shared" si="2"/>
        <v>13-60</v>
      </c>
    </row>
  </sheetData>
  <conditionalFormatting sqref="H2:H81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{5E83432D-7348-184A-A15D-B839DABAE568}</x14:id>
        </ext>
      </extLst>
    </cfRule>
  </conditionalFormatting>
  <conditionalFormatting sqref="I2:I81">
    <cfRule type="dataBar" priority="2">
      <dataBar>
        <cfvo type="min"/>
        <cfvo type="max"/>
        <color rgb="FFA5A5A5"/>
      </dataBar>
    </cfRule>
    <cfRule type="dataBar" priority="4">
      <dataBar>
        <cfvo type="min"/>
        <cfvo type="max"/>
        <color rgb="FFA5A5A5"/>
      </dataBar>
    </cfRule>
    <cfRule type="dataBar" priority="6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{3D15FE0E-4FB8-D9EE-8581-044DB6B34BCD}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83432D-7348-184A-A15D-B839DABAE568}">
            <x14:dataBar>
              <x14:cfvo type="min"/>
              <x14:cfvo type="max"/>
              <x14:negativeFillColor auto="1"/>
              <x14:axisColor auto="1"/>
            </x14:dataBar>
          </x14:cfRule>
          <xm:sqref>H2:H81</xm:sqref>
        </x14:conditionalFormatting>
        <x14:conditionalFormatting xmlns:xm="http://schemas.microsoft.com/office/excel/2006/main">
          <x14:cfRule type="dataBar" id="{3D15FE0E-4FB8-D9EE-8581-044DB6B34BCD}">
            <x14:dataBar>
              <x14:cfvo type="min"/>
              <x14:cfvo type="max"/>
              <x14:negativeFillColor auto="1"/>
              <x14:axisColor auto="1"/>
            </x14:dataBar>
          </x14:cfRule>
          <xm:sqref>I2:I81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shuchita agg</cp:lastModifiedBy>
  <dcterms:modified xsi:type="dcterms:W3CDTF">2026-08-09T19:57:50Z</dcterms:modified>
</cp:coreProperties>
</file>